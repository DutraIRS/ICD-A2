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b46832\Downloads\"/>
    </mc:Choice>
  </mc:AlternateContent>
  <bookViews>
    <workbookView xWindow="0" yWindow="0" windowWidth="28800" windowHeight="12300" activeTab="2"/>
  </bookViews>
  <sheets>
    <sheet name="Customer Info" sheetId="8" r:id="rId1"/>
    <sheet name="Order Info" sheetId="9" r:id="rId2"/>
    <sheet name="Dashboard" sheetId="10" r:id="rId3"/>
  </sheets>
  <externalReferences>
    <externalReference r:id="rId4"/>
  </externalReferences>
  <definedNames>
    <definedName name="_xlnm._FilterDatabase" localSheetId="2" hidden="1">Dashboard!$B$12:$Q$842</definedName>
    <definedName name="_xlcn.WorksheetConnection_CustomerDashboardB13H8431" hidden="1">'[1]Customer Dashboard'!$B$15:$H$847</definedName>
    <definedName name="_xlcn.WorksheetConnection_CustomerOrders01.xlsxCustomerInfo1" hidden="1">'Customer Info'!$B$1:$J$92</definedName>
    <definedName name="_xlcn.WorksheetConnection_CustomerOrders01.xlsxOrderInfo1" hidden="1">'[1]Customer Dashboard'!$B$15:$H$847</definedName>
    <definedName name="_xlnm.Criteria" localSheetId="2">Dashboard!$B$2:$E$3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rderInfo" name="OrderInfo" connection="WorksheetConnection_CustomerOrders-01.xlsx!OrderInfo"/>
          <x15:modelTable id="CustomerInfo" name="CustomerInfo" connection="WorksheetConnection_CustomerOrders-01.xlsx!CustomerInfo"/>
          <x15:modelTable id="Range" name="Range" connection="WorksheetConnection_Customer Dashboard!$B$13:$H$843"/>
        </x15:modelTables>
        <x15:modelRelationships>
          <x15:modelRelationship fromTable="OrderInfo" fromColumn="CustomerID" toTable="CustomerInfo" toColumn="Customer 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10" l="1"/>
  <c r="I6" i="10" l="1"/>
  <c r="H6" i="10"/>
  <c r="B9" i="10"/>
  <c r="J842" i="10" l="1"/>
  <c r="F842" i="10"/>
  <c r="E842" i="10"/>
  <c r="J841" i="10"/>
  <c r="F841" i="10"/>
  <c r="E841" i="10"/>
  <c r="J840" i="10"/>
  <c r="F840" i="10"/>
  <c r="E840" i="10"/>
  <c r="J839" i="10"/>
  <c r="F839" i="10"/>
  <c r="E839" i="10"/>
  <c r="J838" i="10"/>
  <c r="F838" i="10"/>
  <c r="E838" i="10"/>
  <c r="J837" i="10"/>
  <c r="F837" i="10"/>
  <c r="E837" i="10"/>
  <c r="J836" i="10"/>
  <c r="F836" i="10"/>
  <c r="E836" i="10"/>
  <c r="J835" i="10"/>
  <c r="F835" i="10"/>
  <c r="E835" i="10"/>
  <c r="J834" i="10"/>
  <c r="F834" i="10"/>
  <c r="E834" i="10"/>
  <c r="J833" i="10"/>
  <c r="F833" i="10"/>
  <c r="E833" i="10"/>
  <c r="J832" i="10"/>
  <c r="F832" i="10"/>
  <c r="E832" i="10"/>
  <c r="J831" i="10"/>
  <c r="F831" i="10"/>
  <c r="E831" i="10"/>
  <c r="J830" i="10"/>
  <c r="F830" i="10"/>
  <c r="E830" i="10"/>
  <c r="J829" i="10"/>
  <c r="F829" i="10"/>
  <c r="E829" i="10"/>
  <c r="J828" i="10"/>
  <c r="F828" i="10"/>
  <c r="E828" i="10"/>
  <c r="J827" i="10"/>
  <c r="F827" i="10"/>
  <c r="E827" i="10"/>
  <c r="J826" i="10"/>
  <c r="F826" i="10"/>
  <c r="E826" i="10"/>
  <c r="J825" i="10"/>
  <c r="F825" i="10"/>
  <c r="E825" i="10"/>
  <c r="J824" i="10"/>
  <c r="F824" i="10"/>
  <c r="E824" i="10"/>
  <c r="J823" i="10"/>
  <c r="F823" i="10"/>
  <c r="E823" i="10"/>
  <c r="J822" i="10"/>
  <c r="F822" i="10"/>
  <c r="E822" i="10"/>
  <c r="J821" i="10"/>
  <c r="F821" i="10"/>
  <c r="E821" i="10"/>
  <c r="J820" i="10"/>
  <c r="F820" i="10"/>
  <c r="E820" i="10"/>
  <c r="J819" i="10"/>
  <c r="F819" i="10"/>
  <c r="E819" i="10"/>
  <c r="J818" i="10"/>
  <c r="F818" i="10"/>
  <c r="E818" i="10"/>
  <c r="J817" i="10"/>
  <c r="F817" i="10"/>
  <c r="E817" i="10"/>
  <c r="J816" i="10"/>
  <c r="F816" i="10"/>
  <c r="E816" i="10"/>
  <c r="J815" i="10"/>
  <c r="F815" i="10"/>
  <c r="E815" i="10"/>
  <c r="J814" i="10"/>
  <c r="F814" i="10"/>
  <c r="E814" i="10"/>
  <c r="J813" i="10"/>
  <c r="F813" i="10"/>
  <c r="E813" i="10"/>
  <c r="J812" i="10"/>
  <c r="F812" i="10"/>
  <c r="E812" i="10"/>
  <c r="J811" i="10"/>
  <c r="F811" i="10"/>
  <c r="E811" i="10"/>
  <c r="J810" i="10"/>
  <c r="F810" i="10"/>
  <c r="E810" i="10"/>
  <c r="J809" i="10"/>
  <c r="F809" i="10"/>
  <c r="E809" i="10"/>
  <c r="J808" i="10"/>
  <c r="F808" i="10"/>
  <c r="E808" i="10"/>
  <c r="J807" i="10"/>
  <c r="F807" i="10"/>
  <c r="E807" i="10"/>
  <c r="J806" i="10"/>
  <c r="F806" i="10"/>
  <c r="E806" i="10"/>
  <c r="J805" i="10"/>
  <c r="F805" i="10"/>
  <c r="E805" i="10"/>
  <c r="J804" i="10"/>
  <c r="F804" i="10"/>
  <c r="E804" i="10"/>
  <c r="J803" i="10"/>
  <c r="F803" i="10"/>
  <c r="E803" i="10"/>
  <c r="J802" i="10"/>
  <c r="F802" i="10"/>
  <c r="E802" i="10"/>
  <c r="J801" i="10"/>
  <c r="F801" i="10"/>
  <c r="E801" i="10"/>
  <c r="J800" i="10"/>
  <c r="F800" i="10"/>
  <c r="E800" i="10"/>
  <c r="J799" i="10"/>
  <c r="F799" i="10"/>
  <c r="E799" i="10"/>
  <c r="J798" i="10"/>
  <c r="F798" i="10"/>
  <c r="E798" i="10"/>
  <c r="J797" i="10"/>
  <c r="F797" i="10"/>
  <c r="E797" i="10"/>
  <c r="J796" i="10"/>
  <c r="F796" i="10"/>
  <c r="E796" i="10"/>
  <c r="J795" i="10"/>
  <c r="F795" i="10"/>
  <c r="E795" i="10"/>
  <c r="J794" i="10"/>
  <c r="F794" i="10"/>
  <c r="E794" i="10"/>
  <c r="J793" i="10"/>
  <c r="F793" i="10"/>
  <c r="E793" i="10"/>
  <c r="J792" i="10"/>
  <c r="F792" i="10"/>
  <c r="E792" i="10"/>
  <c r="J791" i="10"/>
  <c r="F791" i="10"/>
  <c r="E791" i="10"/>
  <c r="J790" i="10"/>
  <c r="F790" i="10"/>
  <c r="E790" i="10"/>
  <c r="J789" i="10"/>
  <c r="F789" i="10"/>
  <c r="E789" i="10"/>
  <c r="J788" i="10"/>
  <c r="F788" i="10"/>
  <c r="E788" i="10"/>
  <c r="J787" i="10"/>
  <c r="F787" i="10"/>
  <c r="E787" i="10"/>
  <c r="J786" i="10"/>
  <c r="F786" i="10"/>
  <c r="E786" i="10"/>
  <c r="J785" i="10"/>
  <c r="F785" i="10"/>
  <c r="E785" i="10"/>
  <c r="J784" i="10"/>
  <c r="F784" i="10"/>
  <c r="E784" i="10"/>
  <c r="J783" i="10"/>
  <c r="F783" i="10"/>
  <c r="E783" i="10"/>
  <c r="J782" i="10"/>
  <c r="F782" i="10"/>
  <c r="E782" i="10"/>
  <c r="J781" i="10"/>
  <c r="F781" i="10"/>
  <c r="E781" i="10"/>
  <c r="J780" i="10"/>
  <c r="F780" i="10"/>
  <c r="E780" i="10"/>
  <c r="J779" i="10"/>
  <c r="F779" i="10"/>
  <c r="E779" i="10"/>
  <c r="J778" i="10"/>
  <c r="F778" i="10"/>
  <c r="E778" i="10"/>
  <c r="J777" i="10"/>
  <c r="F777" i="10"/>
  <c r="E777" i="10"/>
  <c r="J776" i="10"/>
  <c r="F776" i="10"/>
  <c r="E776" i="10"/>
  <c r="J775" i="10"/>
  <c r="F775" i="10"/>
  <c r="E775" i="10"/>
  <c r="J774" i="10"/>
  <c r="F774" i="10"/>
  <c r="E774" i="10"/>
  <c r="J773" i="10"/>
  <c r="F773" i="10"/>
  <c r="E773" i="10"/>
  <c r="J772" i="10"/>
  <c r="F772" i="10"/>
  <c r="E772" i="10"/>
  <c r="J771" i="10"/>
  <c r="F771" i="10"/>
  <c r="E771" i="10"/>
  <c r="J770" i="10"/>
  <c r="F770" i="10"/>
  <c r="E770" i="10"/>
  <c r="J769" i="10"/>
  <c r="F769" i="10"/>
  <c r="E769" i="10"/>
  <c r="J768" i="10"/>
  <c r="F768" i="10"/>
  <c r="E768" i="10"/>
  <c r="J767" i="10"/>
  <c r="F767" i="10"/>
  <c r="E767" i="10"/>
  <c r="J766" i="10"/>
  <c r="F766" i="10"/>
  <c r="E766" i="10"/>
  <c r="J765" i="10"/>
  <c r="F765" i="10"/>
  <c r="E765" i="10"/>
  <c r="J764" i="10"/>
  <c r="F764" i="10"/>
  <c r="E764" i="10"/>
  <c r="J763" i="10"/>
  <c r="F763" i="10"/>
  <c r="E763" i="10"/>
  <c r="J762" i="10"/>
  <c r="F762" i="10"/>
  <c r="E762" i="10"/>
  <c r="J761" i="10"/>
  <c r="F761" i="10"/>
  <c r="E761" i="10"/>
  <c r="J760" i="10"/>
  <c r="F760" i="10"/>
  <c r="E760" i="10"/>
  <c r="J759" i="10"/>
  <c r="F759" i="10"/>
  <c r="E759" i="10"/>
  <c r="J758" i="10"/>
  <c r="F758" i="10"/>
  <c r="E758" i="10"/>
  <c r="J757" i="10"/>
  <c r="F757" i="10"/>
  <c r="E757" i="10"/>
  <c r="J756" i="10"/>
  <c r="F756" i="10"/>
  <c r="E756" i="10"/>
  <c r="J755" i="10"/>
  <c r="F755" i="10"/>
  <c r="E755" i="10"/>
  <c r="J754" i="10"/>
  <c r="F754" i="10"/>
  <c r="E754" i="10"/>
  <c r="J753" i="10"/>
  <c r="F753" i="10"/>
  <c r="E753" i="10"/>
  <c r="J752" i="10"/>
  <c r="F752" i="10"/>
  <c r="E752" i="10"/>
  <c r="J751" i="10"/>
  <c r="F751" i="10"/>
  <c r="E751" i="10"/>
  <c r="J750" i="10"/>
  <c r="F750" i="10"/>
  <c r="E750" i="10"/>
  <c r="J749" i="10"/>
  <c r="F749" i="10"/>
  <c r="E749" i="10"/>
  <c r="J748" i="10"/>
  <c r="F748" i="10"/>
  <c r="E748" i="10"/>
  <c r="J747" i="10"/>
  <c r="F747" i="10"/>
  <c r="E747" i="10"/>
  <c r="J746" i="10"/>
  <c r="F746" i="10"/>
  <c r="E746" i="10"/>
  <c r="J745" i="10"/>
  <c r="F745" i="10"/>
  <c r="E745" i="10"/>
  <c r="J744" i="10"/>
  <c r="F744" i="10"/>
  <c r="E744" i="10"/>
  <c r="J743" i="10"/>
  <c r="F743" i="10"/>
  <c r="E743" i="10"/>
  <c r="J742" i="10"/>
  <c r="F742" i="10"/>
  <c r="E742" i="10"/>
  <c r="J741" i="10"/>
  <c r="F741" i="10"/>
  <c r="E741" i="10"/>
  <c r="J740" i="10"/>
  <c r="F740" i="10"/>
  <c r="E740" i="10"/>
  <c r="J739" i="10"/>
  <c r="F739" i="10"/>
  <c r="E739" i="10"/>
  <c r="J738" i="10"/>
  <c r="F738" i="10"/>
  <c r="E738" i="10"/>
  <c r="J737" i="10"/>
  <c r="F737" i="10"/>
  <c r="E737" i="10"/>
  <c r="J736" i="10"/>
  <c r="F736" i="10"/>
  <c r="E736" i="10"/>
  <c r="J735" i="10"/>
  <c r="F735" i="10"/>
  <c r="E735" i="10"/>
  <c r="J734" i="10"/>
  <c r="F734" i="10"/>
  <c r="E734" i="10"/>
  <c r="J733" i="10"/>
  <c r="F733" i="10"/>
  <c r="E733" i="10"/>
  <c r="J732" i="10"/>
  <c r="F732" i="10"/>
  <c r="E732" i="10"/>
  <c r="J731" i="10"/>
  <c r="F731" i="10"/>
  <c r="E731" i="10"/>
  <c r="J730" i="10"/>
  <c r="F730" i="10"/>
  <c r="E730" i="10"/>
  <c r="J729" i="10"/>
  <c r="F729" i="10"/>
  <c r="E729" i="10"/>
  <c r="J728" i="10"/>
  <c r="F728" i="10"/>
  <c r="E728" i="10"/>
  <c r="J727" i="10"/>
  <c r="F727" i="10"/>
  <c r="E727" i="10"/>
  <c r="J726" i="10"/>
  <c r="F726" i="10"/>
  <c r="E726" i="10"/>
  <c r="J725" i="10"/>
  <c r="F725" i="10"/>
  <c r="E725" i="10"/>
  <c r="J724" i="10"/>
  <c r="F724" i="10"/>
  <c r="E724" i="10"/>
  <c r="J723" i="10"/>
  <c r="F723" i="10"/>
  <c r="E723" i="10"/>
  <c r="J722" i="10"/>
  <c r="F722" i="10"/>
  <c r="E722" i="10"/>
  <c r="J721" i="10"/>
  <c r="F721" i="10"/>
  <c r="E721" i="10"/>
  <c r="J720" i="10"/>
  <c r="F720" i="10"/>
  <c r="E720" i="10"/>
  <c r="J719" i="10"/>
  <c r="F719" i="10"/>
  <c r="E719" i="10"/>
  <c r="J718" i="10"/>
  <c r="F718" i="10"/>
  <c r="E718" i="10"/>
  <c r="J717" i="10"/>
  <c r="F717" i="10"/>
  <c r="E717" i="10"/>
  <c r="J716" i="10"/>
  <c r="F716" i="10"/>
  <c r="E716" i="10"/>
  <c r="J715" i="10"/>
  <c r="F715" i="10"/>
  <c r="E715" i="10"/>
  <c r="J714" i="10"/>
  <c r="F714" i="10"/>
  <c r="E714" i="10"/>
  <c r="J713" i="10"/>
  <c r="F713" i="10"/>
  <c r="E713" i="10"/>
  <c r="J712" i="10"/>
  <c r="F712" i="10"/>
  <c r="E712" i="10"/>
  <c r="J711" i="10"/>
  <c r="F711" i="10"/>
  <c r="E711" i="10"/>
  <c r="J710" i="10"/>
  <c r="F710" i="10"/>
  <c r="E710" i="10"/>
  <c r="J709" i="10"/>
  <c r="F709" i="10"/>
  <c r="E709" i="10"/>
  <c r="J708" i="10"/>
  <c r="F708" i="10"/>
  <c r="E708" i="10"/>
  <c r="J707" i="10"/>
  <c r="F707" i="10"/>
  <c r="E707" i="10"/>
  <c r="J706" i="10"/>
  <c r="F706" i="10"/>
  <c r="E706" i="10"/>
  <c r="J705" i="10"/>
  <c r="F705" i="10"/>
  <c r="E705" i="10"/>
  <c r="J704" i="10"/>
  <c r="F704" i="10"/>
  <c r="E704" i="10"/>
  <c r="J703" i="10"/>
  <c r="F703" i="10"/>
  <c r="E703" i="10"/>
  <c r="J702" i="10"/>
  <c r="F702" i="10"/>
  <c r="E702" i="10"/>
  <c r="J701" i="10"/>
  <c r="F701" i="10"/>
  <c r="E701" i="10"/>
  <c r="J700" i="10"/>
  <c r="F700" i="10"/>
  <c r="E700" i="10"/>
  <c r="J699" i="10"/>
  <c r="F699" i="10"/>
  <c r="E699" i="10"/>
  <c r="J698" i="10"/>
  <c r="F698" i="10"/>
  <c r="E698" i="10"/>
  <c r="J697" i="10"/>
  <c r="F697" i="10"/>
  <c r="E697" i="10"/>
  <c r="J696" i="10"/>
  <c r="F696" i="10"/>
  <c r="E696" i="10"/>
  <c r="J695" i="10"/>
  <c r="F695" i="10"/>
  <c r="E695" i="10"/>
  <c r="J694" i="10"/>
  <c r="F694" i="10"/>
  <c r="E694" i="10"/>
  <c r="J693" i="10"/>
  <c r="F693" i="10"/>
  <c r="E693" i="10"/>
  <c r="J692" i="10"/>
  <c r="F692" i="10"/>
  <c r="E692" i="10"/>
  <c r="J691" i="10"/>
  <c r="F691" i="10"/>
  <c r="E691" i="10"/>
  <c r="J690" i="10"/>
  <c r="F690" i="10"/>
  <c r="E690" i="10"/>
  <c r="J689" i="10"/>
  <c r="F689" i="10"/>
  <c r="E689" i="10"/>
  <c r="J688" i="10"/>
  <c r="F688" i="10"/>
  <c r="E688" i="10"/>
  <c r="J687" i="10"/>
  <c r="F687" i="10"/>
  <c r="E687" i="10"/>
  <c r="J686" i="10"/>
  <c r="F686" i="10"/>
  <c r="E686" i="10"/>
  <c r="J685" i="10"/>
  <c r="F685" i="10"/>
  <c r="E685" i="10"/>
  <c r="J684" i="10"/>
  <c r="F684" i="10"/>
  <c r="E684" i="10"/>
  <c r="J683" i="10"/>
  <c r="F683" i="10"/>
  <c r="E683" i="10"/>
  <c r="J682" i="10"/>
  <c r="F682" i="10"/>
  <c r="E682" i="10"/>
  <c r="J681" i="10"/>
  <c r="F681" i="10"/>
  <c r="E681" i="10"/>
  <c r="J680" i="10"/>
  <c r="F680" i="10"/>
  <c r="E680" i="10"/>
  <c r="J679" i="10"/>
  <c r="F679" i="10"/>
  <c r="E679" i="10"/>
  <c r="J678" i="10"/>
  <c r="F678" i="10"/>
  <c r="E678" i="10"/>
  <c r="J677" i="10"/>
  <c r="F677" i="10"/>
  <c r="E677" i="10"/>
  <c r="J676" i="10"/>
  <c r="F676" i="10"/>
  <c r="E676" i="10"/>
  <c r="J675" i="10"/>
  <c r="F675" i="10"/>
  <c r="E675" i="10"/>
  <c r="J674" i="10"/>
  <c r="F674" i="10"/>
  <c r="E674" i="10"/>
  <c r="J673" i="10"/>
  <c r="F673" i="10"/>
  <c r="E673" i="10"/>
  <c r="J672" i="10"/>
  <c r="F672" i="10"/>
  <c r="E672" i="10"/>
  <c r="J671" i="10"/>
  <c r="F671" i="10"/>
  <c r="E671" i="10"/>
  <c r="J670" i="10"/>
  <c r="F670" i="10"/>
  <c r="E670" i="10"/>
  <c r="J669" i="10"/>
  <c r="F669" i="10"/>
  <c r="E669" i="10"/>
  <c r="J668" i="10"/>
  <c r="F668" i="10"/>
  <c r="E668" i="10"/>
  <c r="J667" i="10"/>
  <c r="F667" i="10"/>
  <c r="E667" i="10"/>
  <c r="J666" i="10"/>
  <c r="F666" i="10"/>
  <c r="E666" i="10"/>
  <c r="J665" i="10"/>
  <c r="F665" i="10"/>
  <c r="E665" i="10"/>
  <c r="J664" i="10"/>
  <c r="F664" i="10"/>
  <c r="E664" i="10"/>
  <c r="J663" i="10"/>
  <c r="F663" i="10"/>
  <c r="E663" i="10"/>
  <c r="J662" i="10"/>
  <c r="F662" i="10"/>
  <c r="E662" i="10"/>
  <c r="J661" i="10"/>
  <c r="F661" i="10"/>
  <c r="E661" i="10"/>
  <c r="J660" i="10"/>
  <c r="F660" i="10"/>
  <c r="E660" i="10"/>
  <c r="J659" i="10"/>
  <c r="F659" i="10"/>
  <c r="E659" i="10"/>
  <c r="J658" i="10"/>
  <c r="F658" i="10"/>
  <c r="E658" i="10"/>
  <c r="J657" i="10"/>
  <c r="F657" i="10"/>
  <c r="E657" i="10"/>
  <c r="J656" i="10"/>
  <c r="F656" i="10"/>
  <c r="E656" i="10"/>
  <c r="J655" i="10"/>
  <c r="F655" i="10"/>
  <c r="E655" i="10"/>
  <c r="J654" i="10"/>
  <c r="F654" i="10"/>
  <c r="E654" i="10"/>
  <c r="J653" i="10"/>
  <c r="F653" i="10"/>
  <c r="E653" i="10"/>
  <c r="J652" i="10"/>
  <c r="F652" i="10"/>
  <c r="E652" i="10"/>
  <c r="J651" i="10"/>
  <c r="F651" i="10"/>
  <c r="E651" i="10"/>
  <c r="J650" i="10"/>
  <c r="F650" i="10"/>
  <c r="E650" i="10"/>
  <c r="J649" i="10"/>
  <c r="F649" i="10"/>
  <c r="E649" i="10"/>
  <c r="J648" i="10"/>
  <c r="F648" i="10"/>
  <c r="E648" i="10"/>
  <c r="J647" i="10"/>
  <c r="F647" i="10"/>
  <c r="E647" i="10"/>
  <c r="J646" i="10"/>
  <c r="F646" i="10"/>
  <c r="E646" i="10"/>
  <c r="J645" i="10"/>
  <c r="F645" i="10"/>
  <c r="E645" i="10"/>
  <c r="J644" i="10"/>
  <c r="F644" i="10"/>
  <c r="E644" i="10"/>
  <c r="J643" i="10"/>
  <c r="F643" i="10"/>
  <c r="E643" i="10"/>
  <c r="J642" i="10"/>
  <c r="F642" i="10"/>
  <c r="E642" i="10"/>
  <c r="J641" i="10"/>
  <c r="F641" i="10"/>
  <c r="E641" i="10"/>
  <c r="J640" i="10"/>
  <c r="F640" i="10"/>
  <c r="E640" i="10"/>
  <c r="J639" i="10"/>
  <c r="F639" i="10"/>
  <c r="E639" i="10"/>
  <c r="J638" i="10"/>
  <c r="F638" i="10"/>
  <c r="E638" i="10"/>
  <c r="J637" i="10"/>
  <c r="F637" i="10"/>
  <c r="E637" i="10"/>
  <c r="J636" i="10"/>
  <c r="F636" i="10"/>
  <c r="E636" i="10"/>
  <c r="J635" i="10"/>
  <c r="F635" i="10"/>
  <c r="E635" i="10"/>
  <c r="J634" i="10"/>
  <c r="F634" i="10"/>
  <c r="E634" i="10"/>
  <c r="J633" i="10"/>
  <c r="F633" i="10"/>
  <c r="E633" i="10"/>
  <c r="J632" i="10"/>
  <c r="F632" i="10"/>
  <c r="E632" i="10"/>
  <c r="J631" i="10"/>
  <c r="F631" i="10"/>
  <c r="E631" i="10"/>
  <c r="J630" i="10"/>
  <c r="F630" i="10"/>
  <c r="E630" i="10"/>
  <c r="J629" i="10"/>
  <c r="F629" i="10"/>
  <c r="E629" i="10"/>
  <c r="J628" i="10"/>
  <c r="F628" i="10"/>
  <c r="E628" i="10"/>
  <c r="J627" i="10"/>
  <c r="F627" i="10"/>
  <c r="E627" i="10"/>
  <c r="J626" i="10"/>
  <c r="F626" i="10"/>
  <c r="E626" i="10"/>
  <c r="J625" i="10"/>
  <c r="F625" i="10"/>
  <c r="E625" i="10"/>
  <c r="J624" i="10"/>
  <c r="F624" i="10"/>
  <c r="E624" i="10"/>
  <c r="J623" i="10"/>
  <c r="F623" i="10"/>
  <c r="E623" i="10"/>
  <c r="J622" i="10"/>
  <c r="F622" i="10"/>
  <c r="E622" i="10"/>
  <c r="J621" i="10"/>
  <c r="F621" i="10"/>
  <c r="E621" i="10"/>
  <c r="J620" i="10"/>
  <c r="F620" i="10"/>
  <c r="E620" i="10"/>
  <c r="J619" i="10"/>
  <c r="F619" i="10"/>
  <c r="E619" i="10"/>
  <c r="J618" i="10"/>
  <c r="F618" i="10"/>
  <c r="E618" i="10"/>
  <c r="J617" i="10"/>
  <c r="F617" i="10"/>
  <c r="E617" i="10"/>
  <c r="J616" i="10"/>
  <c r="F616" i="10"/>
  <c r="E616" i="10"/>
  <c r="J615" i="10"/>
  <c r="F615" i="10"/>
  <c r="E615" i="10"/>
  <c r="J614" i="10"/>
  <c r="F614" i="10"/>
  <c r="E614" i="10"/>
  <c r="J613" i="10"/>
  <c r="F613" i="10"/>
  <c r="E613" i="10"/>
  <c r="J612" i="10"/>
  <c r="F612" i="10"/>
  <c r="E612" i="10"/>
  <c r="J611" i="10"/>
  <c r="F611" i="10"/>
  <c r="E611" i="10"/>
  <c r="J610" i="10"/>
  <c r="F610" i="10"/>
  <c r="E610" i="10"/>
  <c r="J609" i="10"/>
  <c r="F609" i="10"/>
  <c r="E609" i="10"/>
  <c r="J608" i="10"/>
  <c r="F608" i="10"/>
  <c r="E608" i="10"/>
  <c r="J607" i="10"/>
  <c r="F607" i="10"/>
  <c r="E607" i="10"/>
  <c r="J606" i="10"/>
  <c r="F606" i="10"/>
  <c r="E606" i="10"/>
  <c r="J605" i="10"/>
  <c r="F605" i="10"/>
  <c r="E605" i="10"/>
  <c r="J604" i="10"/>
  <c r="F604" i="10"/>
  <c r="E604" i="10"/>
  <c r="J603" i="10"/>
  <c r="F603" i="10"/>
  <c r="E603" i="10"/>
  <c r="J602" i="10"/>
  <c r="F602" i="10"/>
  <c r="E602" i="10"/>
  <c r="J601" i="10"/>
  <c r="F601" i="10"/>
  <c r="E601" i="10"/>
  <c r="J600" i="10"/>
  <c r="F600" i="10"/>
  <c r="E600" i="10"/>
  <c r="J599" i="10"/>
  <c r="F599" i="10"/>
  <c r="E599" i="10"/>
  <c r="J598" i="10"/>
  <c r="F598" i="10"/>
  <c r="E598" i="10"/>
  <c r="J597" i="10"/>
  <c r="F597" i="10"/>
  <c r="E597" i="10"/>
  <c r="J596" i="10"/>
  <c r="F596" i="10"/>
  <c r="E596" i="10"/>
  <c r="J595" i="10"/>
  <c r="F595" i="10"/>
  <c r="E595" i="10"/>
  <c r="J594" i="10"/>
  <c r="F594" i="10"/>
  <c r="E594" i="10"/>
  <c r="J593" i="10"/>
  <c r="F593" i="10"/>
  <c r="E593" i="10"/>
  <c r="J592" i="10"/>
  <c r="F592" i="10"/>
  <c r="E592" i="10"/>
  <c r="J591" i="10"/>
  <c r="F591" i="10"/>
  <c r="E591" i="10"/>
  <c r="J590" i="10"/>
  <c r="F590" i="10"/>
  <c r="E590" i="10"/>
  <c r="J589" i="10"/>
  <c r="F589" i="10"/>
  <c r="E589" i="10"/>
  <c r="J588" i="10"/>
  <c r="F588" i="10"/>
  <c r="E588" i="10"/>
  <c r="J587" i="10"/>
  <c r="F587" i="10"/>
  <c r="E587" i="10"/>
  <c r="J586" i="10"/>
  <c r="F586" i="10"/>
  <c r="E586" i="10"/>
  <c r="J585" i="10"/>
  <c r="F585" i="10"/>
  <c r="E585" i="10"/>
  <c r="J584" i="10"/>
  <c r="F584" i="10"/>
  <c r="E584" i="10"/>
  <c r="J583" i="10"/>
  <c r="F583" i="10"/>
  <c r="E583" i="10"/>
  <c r="J582" i="10"/>
  <c r="F582" i="10"/>
  <c r="E582" i="10"/>
  <c r="J581" i="10"/>
  <c r="F581" i="10"/>
  <c r="E581" i="10"/>
  <c r="J580" i="10"/>
  <c r="F580" i="10"/>
  <c r="E580" i="10"/>
  <c r="J579" i="10"/>
  <c r="F579" i="10"/>
  <c r="E579" i="10"/>
  <c r="J578" i="10"/>
  <c r="F578" i="10"/>
  <c r="E578" i="10"/>
  <c r="J577" i="10"/>
  <c r="F577" i="10"/>
  <c r="E577" i="10"/>
  <c r="J576" i="10"/>
  <c r="F576" i="10"/>
  <c r="E576" i="10"/>
  <c r="J575" i="10"/>
  <c r="F575" i="10"/>
  <c r="E575" i="10"/>
  <c r="J574" i="10"/>
  <c r="F574" i="10"/>
  <c r="E574" i="10"/>
  <c r="J573" i="10"/>
  <c r="F573" i="10"/>
  <c r="E573" i="10"/>
  <c r="J572" i="10"/>
  <c r="F572" i="10"/>
  <c r="E572" i="10"/>
  <c r="J571" i="10"/>
  <c r="F571" i="10"/>
  <c r="E571" i="10"/>
  <c r="J570" i="10"/>
  <c r="F570" i="10"/>
  <c r="E570" i="10"/>
  <c r="J569" i="10"/>
  <c r="F569" i="10"/>
  <c r="E569" i="10"/>
  <c r="J568" i="10"/>
  <c r="F568" i="10"/>
  <c r="E568" i="10"/>
  <c r="J567" i="10"/>
  <c r="F567" i="10"/>
  <c r="E567" i="10"/>
  <c r="J566" i="10"/>
  <c r="F566" i="10"/>
  <c r="E566" i="10"/>
  <c r="J565" i="10"/>
  <c r="F565" i="10"/>
  <c r="E565" i="10"/>
  <c r="J564" i="10"/>
  <c r="F564" i="10"/>
  <c r="E564" i="10"/>
  <c r="J563" i="10"/>
  <c r="F563" i="10"/>
  <c r="E563" i="10"/>
  <c r="J562" i="10"/>
  <c r="F562" i="10"/>
  <c r="E562" i="10"/>
  <c r="J561" i="10"/>
  <c r="F561" i="10"/>
  <c r="E561" i="10"/>
  <c r="J560" i="10"/>
  <c r="F560" i="10"/>
  <c r="E560" i="10"/>
  <c r="J559" i="10"/>
  <c r="F559" i="10"/>
  <c r="E559" i="10"/>
  <c r="J558" i="10"/>
  <c r="F558" i="10"/>
  <c r="E558" i="10"/>
  <c r="J557" i="10"/>
  <c r="F557" i="10"/>
  <c r="E557" i="10"/>
  <c r="J556" i="10"/>
  <c r="F556" i="10"/>
  <c r="E556" i="10"/>
  <c r="J555" i="10"/>
  <c r="F555" i="10"/>
  <c r="E555" i="10"/>
  <c r="J554" i="10"/>
  <c r="F554" i="10"/>
  <c r="E554" i="10"/>
  <c r="J553" i="10"/>
  <c r="F553" i="10"/>
  <c r="E553" i="10"/>
  <c r="J552" i="10"/>
  <c r="F552" i="10"/>
  <c r="E552" i="10"/>
  <c r="J551" i="10"/>
  <c r="F551" i="10"/>
  <c r="E551" i="10"/>
  <c r="J550" i="10"/>
  <c r="F550" i="10"/>
  <c r="E550" i="10"/>
  <c r="J549" i="10"/>
  <c r="F549" i="10"/>
  <c r="E549" i="10"/>
  <c r="J548" i="10"/>
  <c r="F548" i="10"/>
  <c r="E548" i="10"/>
  <c r="J547" i="10"/>
  <c r="F547" i="10"/>
  <c r="E547" i="10"/>
  <c r="J546" i="10"/>
  <c r="F546" i="10"/>
  <c r="E546" i="10"/>
  <c r="J545" i="10"/>
  <c r="F545" i="10"/>
  <c r="E545" i="10"/>
  <c r="J544" i="10"/>
  <c r="F544" i="10"/>
  <c r="E544" i="10"/>
  <c r="J543" i="10"/>
  <c r="F543" i="10"/>
  <c r="E543" i="10"/>
  <c r="J542" i="10"/>
  <c r="F542" i="10"/>
  <c r="E542" i="10"/>
  <c r="J541" i="10"/>
  <c r="F541" i="10"/>
  <c r="E541" i="10"/>
  <c r="J540" i="10"/>
  <c r="F540" i="10"/>
  <c r="E540" i="10"/>
  <c r="J539" i="10"/>
  <c r="F539" i="10"/>
  <c r="E539" i="10"/>
  <c r="J538" i="10"/>
  <c r="F538" i="10"/>
  <c r="E538" i="10"/>
  <c r="J537" i="10"/>
  <c r="F537" i="10"/>
  <c r="E537" i="10"/>
  <c r="J536" i="10"/>
  <c r="F536" i="10"/>
  <c r="E536" i="10"/>
  <c r="J535" i="10"/>
  <c r="F535" i="10"/>
  <c r="E535" i="10"/>
  <c r="J534" i="10"/>
  <c r="F534" i="10"/>
  <c r="E534" i="10"/>
  <c r="J533" i="10"/>
  <c r="F533" i="10"/>
  <c r="E533" i="10"/>
  <c r="J532" i="10"/>
  <c r="F532" i="10"/>
  <c r="E532" i="10"/>
  <c r="J531" i="10"/>
  <c r="F531" i="10"/>
  <c r="E531" i="10"/>
  <c r="J530" i="10"/>
  <c r="F530" i="10"/>
  <c r="E530" i="10"/>
  <c r="J529" i="10"/>
  <c r="F529" i="10"/>
  <c r="E529" i="10"/>
  <c r="J528" i="10"/>
  <c r="F528" i="10"/>
  <c r="E528" i="10"/>
  <c r="J527" i="10"/>
  <c r="F527" i="10"/>
  <c r="E527" i="10"/>
  <c r="J526" i="10"/>
  <c r="F526" i="10"/>
  <c r="E526" i="10"/>
  <c r="J525" i="10"/>
  <c r="F525" i="10"/>
  <c r="E525" i="10"/>
  <c r="J524" i="10"/>
  <c r="F524" i="10"/>
  <c r="E524" i="10"/>
  <c r="J523" i="10"/>
  <c r="F523" i="10"/>
  <c r="E523" i="10"/>
  <c r="J522" i="10"/>
  <c r="F522" i="10"/>
  <c r="E522" i="10"/>
  <c r="J521" i="10"/>
  <c r="F521" i="10"/>
  <c r="E521" i="10"/>
  <c r="J520" i="10"/>
  <c r="F520" i="10"/>
  <c r="E520" i="10"/>
  <c r="J519" i="10"/>
  <c r="F519" i="10"/>
  <c r="E519" i="10"/>
  <c r="J518" i="10"/>
  <c r="F518" i="10"/>
  <c r="E518" i="10"/>
  <c r="J517" i="10"/>
  <c r="F517" i="10"/>
  <c r="E517" i="10"/>
  <c r="J516" i="10"/>
  <c r="F516" i="10"/>
  <c r="E516" i="10"/>
  <c r="J515" i="10"/>
  <c r="F515" i="10"/>
  <c r="E515" i="10"/>
  <c r="J514" i="10"/>
  <c r="F514" i="10"/>
  <c r="E514" i="10"/>
  <c r="J513" i="10"/>
  <c r="F513" i="10"/>
  <c r="E513" i="10"/>
  <c r="J512" i="10"/>
  <c r="F512" i="10"/>
  <c r="E512" i="10"/>
  <c r="J511" i="10"/>
  <c r="F511" i="10"/>
  <c r="E511" i="10"/>
  <c r="J510" i="10"/>
  <c r="F510" i="10"/>
  <c r="E510" i="10"/>
  <c r="J509" i="10"/>
  <c r="F509" i="10"/>
  <c r="E509" i="10"/>
  <c r="J508" i="10"/>
  <c r="F508" i="10"/>
  <c r="E508" i="10"/>
  <c r="J507" i="10"/>
  <c r="F507" i="10"/>
  <c r="E507" i="10"/>
  <c r="J506" i="10"/>
  <c r="F506" i="10"/>
  <c r="E506" i="10"/>
  <c r="J505" i="10"/>
  <c r="F505" i="10"/>
  <c r="E505" i="10"/>
  <c r="J504" i="10"/>
  <c r="F504" i="10"/>
  <c r="E504" i="10"/>
  <c r="J503" i="10"/>
  <c r="F503" i="10"/>
  <c r="E503" i="10"/>
  <c r="J502" i="10"/>
  <c r="F502" i="10"/>
  <c r="E502" i="10"/>
  <c r="J501" i="10"/>
  <c r="F501" i="10"/>
  <c r="E501" i="10"/>
  <c r="J500" i="10"/>
  <c r="F500" i="10"/>
  <c r="E500" i="10"/>
  <c r="J499" i="10"/>
  <c r="F499" i="10"/>
  <c r="E499" i="10"/>
  <c r="J498" i="10"/>
  <c r="F498" i="10"/>
  <c r="E498" i="10"/>
  <c r="J497" i="10"/>
  <c r="F497" i="10"/>
  <c r="E497" i="10"/>
  <c r="J496" i="10"/>
  <c r="F496" i="10"/>
  <c r="E496" i="10"/>
  <c r="J495" i="10"/>
  <c r="F495" i="10"/>
  <c r="E495" i="10"/>
  <c r="J494" i="10"/>
  <c r="F494" i="10"/>
  <c r="E494" i="10"/>
  <c r="J493" i="10"/>
  <c r="F493" i="10"/>
  <c r="E493" i="10"/>
  <c r="J492" i="10"/>
  <c r="F492" i="10"/>
  <c r="E492" i="10"/>
  <c r="J491" i="10"/>
  <c r="F491" i="10"/>
  <c r="E491" i="10"/>
  <c r="J490" i="10"/>
  <c r="F490" i="10"/>
  <c r="E490" i="10"/>
  <c r="J489" i="10"/>
  <c r="F489" i="10"/>
  <c r="E489" i="10"/>
  <c r="J488" i="10"/>
  <c r="F488" i="10"/>
  <c r="E488" i="10"/>
  <c r="J487" i="10"/>
  <c r="F487" i="10"/>
  <c r="E487" i="10"/>
  <c r="J486" i="10"/>
  <c r="F486" i="10"/>
  <c r="E486" i="10"/>
  <c r="J485" i="10"/>
  <c r="F485" i="10"/>
  <c r="E485" i="10"/>
  <c r="J484" i="10"/>
  <c r="F484" i="10"/>
  <c r="E484" i="10"/>
  <c r="J483" i="10"/>
  <c r="F483" i="10"/>
  <c r="E483" i="10"/>
  <c r="J482" i="10"/>
  <c r="F482" i="10"/>
  <c r="E482" i="10"/>
  <c r="J481" i="10"/>
  <c r="F481" i="10"/>
  <c r="E481" i="10"/>
  <c r="J480" i="10"/>
  <c r="F480" i="10"/>
  <c r="E480" i="10"/>
  <c r="J479" i="10"/>
  <c r="F479" i="10"/>
  <c r="E479" i="10"/>
  <c r="J478" i="10"/>
  <c r="F478" i="10"/>
  <c r="E478" i="10"/>
  <c r="J477" i="10"/>
  <c r="F477" i="10"/>
  <c r="E477" i="10"/>
  <c r="J476" i="10"/>
  <c r="F476" i="10"/>
  <c r="E476" i="10"/>
  <c r="J475" i="10"/>
  <c r="F475" i="10"/>
  <c r="E475" i="10"/>
  <c r="J474" i="10"/>
  <c r="F474" i="10"/>
  <c r="E474" i="10"/>
  <c r="J473" i="10"/>
  <c r="F473" i="10"/>
  <c r="E473" i="10"/>
  <c r="J472" i="10"/>
  <c r="F472" i="10"/>
  <c r="E472" i="10"/>
  <c r="J471" i="10"/>
  <c r="F471" i="10"/>
  <c r="E471" i="10"/>
  <c r="J470" i="10"/>
  <c r="F470" i="10"/>
  <c r="E470" i="10"/>
  <c r="J469" i="10"/>
  <c r="F469" i="10"/>
  <c r="E469" i="10"/>
  <c r="J468" i="10"/>
  <c r="F468" i="10"/>
  <c r="E468" i="10"/>
  <c r="J467" i="10"/>
  <c r="F467" i="10"/>
  <c r="E467" i="10"/>
  <c r="J466" i="10"/>
  <c r="F466" i="10"/>
  <c r="E466" i="10"/>
  <c r="J465" i="10"/>
  <c r="F465" i="10"/>
  <c r="E465" i="10"/>
  <c r="J464" i="10"/>
  <c r="F464" i="10"/>
  <c r="E464" i="10"/>
  <c r="J463" i="10"/>
  <c r="F463" i="10"/>
  <c r="E463" i="10"/>
  <c r="J462" i="10"/>
  <c r="F462" i="10"/>
  <c r="E462" i="10"/>
  <c r="J461" i="10"/>
  <c r="F461" i="10"/>
  <c r="E461" i="10"/>
  <c r="J460" i="10"/>
  <c r="F460" i="10"/>
  <c r="E460" i="10"/>
  <c r="J459" i="10"/>
  <c r="F459" i="10"/>
  <c r="E459" i="10"/>
  <c r="J458" i="10"/>
  <c r="F458" i="10"/>
  <c r="E458" i="10"/>
  <c r="J457" i="10"/>
  <c r="F457" i="10"/>
  <c r="E457" i="10"/>
  <c r="J456" i="10"/>
  <c r="F456" i="10"/>
  <c r="E456" i="10"/>
  <c r="J455" i="10"/>
  <c r="F455" i="10"/>
  <c r="E455" i="10"/>
  <c r="J454" i="10"/>
  <c r="F454" i="10"/>
  <c r="E454" i="10"/>
  <c r="J453" i="10"/>
  <c r="F453" i="10"/>
  <c r="E453" i="10"/>
  <c r="J452" i="10"/>
  <c r="F452" i="10"/>
  <c r="E452" i="10"/>
  <c r="J451" i="10"/>
  <c r="F451" i="10"/>
  <c r="E451" i="10"/>
  <c r="J450" i="10"/>
  <c r="F450" i="10"/>
  <c r="E450" i="10"/>
  <c r="J449" i="10"/>
  <c r="F449" i="10"/>
  <c r="E449" i="10"/>
  <c r="J448" i="10"/>
  <c r="F448" i="10"/>
  <c r="E448" i="10"/>
  <c r="J447" i="10"/>
  <c r="F447" i="10"/>
  <c r="E447" i="10"/>
  <c r="J446" i="10"/>
  <c r="F446" i="10"/>
  <c r="E446" i="10"/>
  <c r="J445" i="10"/>
  <c r="F445" i="10"/>
  <c r="E445" i="10"/>
  <c r="J444" i="10"/>
  <c r="F444" i="10"/>
  <c r="E444" i="10"/>
  <c r="J443" i="10"/>
  <c r="F443" i="10"/>
  <c r="E443" i="10"/>
  <c r="J442" i="10"/>
  <c r="F442" i="10"/>
  <c r="E442" i="10"/>
  <c r="J441" i="10"/>
  <c r="F441" i="10"/>
  <c r="E441" i="10"/>
  <c r="J440" i="10"/>
  <c r="F440" i="10"/>
  <c r="E440" i="10"/>
  <c r="J439" i="10"/>
  <c r="F439" i="10"/>
  <c r="E439" i="10"/>
  <c r="J438" i="10"/>
  <c r="F438" i="10"/>
  <c r="E438" i="10"/>
  <c r="J437" i="10"/>
  <c r="F437" i="10"/>
  <c r="E437" i="10"/>
  <c r="J436" i="10"/>
  <c r="F436" i="10"/>
  <c r="E436" i="10"/>
  <c r="J435" i="10"/>
  <c r="F435" i="10"/>
  <c r="E435" i="10"/>
  <c r="J434" i="10"/>
  <c r="F434" i="10"/>
  <c r="E434" i="10"/>
  <c r="J433" i="10"/>
  <c r="F433" i="10"/>
  <c r="E433" i="10"/>
  <c r="J432" i="10"/>
  <c r="F432" i="10"/>
  <c r="E432" i="10"/>
  <c r="J431" i="10"/>
  <c r="F431" i="10"/>
  <c r="E431" i="10"/>
  <c r="J430" i="10"/>
  <c r="F430" i="10"/>
  <c r="E430" i="10"/>
  <c r="J429" i="10"/>
  <c r="F429" i="10"/>
  <c r="E429" i="10"/>
  <c r="J428" i="10"/>
  <c r="F428" i="10"/>
  <c r="E428" i="10"/>
  <c r="J427" i="10"/>
  <c r="F427" i="10"/>
  <c r="E427" i="10"/>
  <c r="J426" i="10"/>
  <c r="F426" i="10"/>
  <c r="E426" i="10"/>
  <c r="J425" i="10"/>
  <c r="F425" i="10"/>
  <c r="E425" i="10"/>
  <c r="J424" i="10"/>
  <c r="F424" i="10"/>
  <c r="E424" i="10"/>
  <c r="J423" i="10"/>
  <c r="F423" i="10"/>
  <c r="E423" i="10"/>
  <c r="J422" i="10"/>
  <c r="F422" i="10"/>
  <c r="E422" i="10"/>
  <c r="J421" i="10"/>
  <c r="F421" i="10"/>
  <c r="E421" i="10"/>
  <c r="J420" i="10"/>
  <c r="F420" i="10"/>
  <c r="E420" i="10"/>
  <c r="J419" i="10"/>
  <c r="F419" i="10"/>
  <c r="E419" i="10"/>
  <c r="J418" i="10"/>
  <c r="F418" i="10"/>
  <c r="E418" i="10"/>
  <c r="J417" i="10"/>
  <c r="F417" i="10"/>
  <c r="E417" i="10"/>
  <c r="J416" i="10"/>
  <c r="F416" i="10"/>
  <c r="E416" i="10"/>
  <c r="J415" i="10"/>
  <c r="F415" i="10"/>
  <c r="E415" i="10"/>
  <c r="J414" i="10"/>
  <c r="F414" i="10"/>
  <c r="E414" i="10"/>
  <c r="J413" i="10"/>
  <c r="F413" i="10"/>
  <c r="E413" i="10"/>
  <c r="J412" i="10"/>
  <c r="F412" i="10"/>
  <c r="E412" i="10"/>
  <c r="J411" i="10"/>
  <c r="F411" i="10"/>
  <c r="E411" i="10"/>
  <c r="J410" i="10"/>
  <c r="F410" i="10"/>
  <c r="E410" i="10"/>
  <c r="J409" i="10"/>
  <c r="F409" i="10"/>
  <c r="E409" i="10"/>
  <c r="J408" i="10"/>
  <c r="F408" i="10"/>
  <c r="E408" i="10"/>
  <c r="J407" i="10"/>
  <c r="F407" i="10"/>
  <c r="E407" i="10"/>
  <c r="J406" i="10"/>
  <c r="F406" i="10"/>
  <c r="E406" i="10"/>
  <c r="J405" i="10"/>
  <c r="F405" i="10"/>
  <c r="E405" i="10"/>
  <c r="J404" i="10"/>
  <c r="F404" i="10"/>
  <c r="E404" i="10"/>
  <c r="J403" i="10"/>
  <c r="F403" i="10"/>
  <c r="E403" i="10"/>
  <c r="J402" i="10"/>
  <c r="F402" i="10"/>
  <c r="E402" i="10"/>
  <c r="J401" i="10"/>
  <c r="F401" i="10"/>
  <c r="E401" i="10"/>
  <c r="J400" i="10"/>
  <c r="F400" i="10"/>
  <c r="E400" i="10"/>
  <c r="J399" i="10"/>
  <c r="F399" i="10"/>
  <c r="E399" i="10"/>
  <c r="J398" i="10"/>
  <c r="F398" i="10"/>
  <c r="E398" i="10"/>
  <c r="J397" i="10"/>
  <c r="F397" i="10"/>
  <c r="E397" i="10"/>
  <c r="J396" i="10"/>
  <c r="F396" i="10"/>
  <c r="E396" i="10"/>
  <c r="J395" i="10"/>
  <c r="F395" i="10"/>
  <c r="E395" i="10"/>
  <c r="J394" i="10"/>
  <c r="F394" i="10"/>
  <c r="E394" i="10"/>
  <c r="J393" i="10"/>
  <c r="F393" i="10"/>
  <c r="E393" i="10"/>
  <c r="J392" i="10"/>
  <c r="F392" i="10"/>
  <c r="E392" i="10"/>
  <c r="J391" i="10"/>
  <c r="F391" i="10"/>
  <c r="E391" i="10"/>
  <c r="J390" i="10"/>
  <c r="F390" i="10"/>
  <c r="E390" i="10"/>
  <c r="J389" i="10"/>
  <c r="F389" i="10"/>
  <c r="E389" i="10"/>
  <c r="J388" i="10"/>
  <c r="F388" i="10"/>
  <c r="E388" i="10"/>
  <c r="J387" i="10"/>
  <c r="F387" i="10"/>
  <c r="E387" i="10"/>
  <c r="J386" i="10"/>
  <c r="F386" i="10"/>
  <c r="E386" i="10"/>
  <c r="J385" i="10"/>
  <c r="F385" i="10"/>
  <c r="E385" i="10"/>
  <c r="J384" i="10"/>
  <c r="F384" i="10"/>
  <c r="E384" i="10"/>
  <c r="J383" i="10"/>
  <c r="F383" i="10"/>
  <c r="E383" i="10"/>
  <c r="J382" i="10"/>
  <c r="F382" i="10"/>
  <c r="E382" i="10"/>
  <c r="J381" i="10"/>
  <c r="F381" i="10"/>
  <c r="E381" i="10"/>
  <c r="J380" i="10"/>
  <c r="F380" i="10"/>
  <c r="E380" i="10"/>
  <c r="J379" i="10"/>
  <c r="F379" i="10"/>
  <c r="E379" i="10"/>
  <c r="J378" i="10"/>
  <c r="F378" i="10"/>
  <c r="E378" i="10"/>
  <c r="J377" i="10"/>
  <c r="F377" i="10"/>
  <c r="E377" i="10"/>
  <c r="J376" i="10"/>
  <c r="F376" i="10"/>
  <c r="E376" i="10"/>
  <c r="J375" i="10"/>
  <c r="F375" i="10"/>
  <c r="E375" i="10"/>
  <c r="J374" i="10"/>
  <c r="F374" i="10"/>
  <c r="E374" i="10"/>
  <c r="J373" i="10"/>
  <c r="F373" i="10"/>
  <c r="E373" i="10"/>
  <c r="J372" i="10"/>
  <c r="F372" i="10"/>
  <c r="E372" i="10"/>
  <c r="J371" i="10"/>
  <c r="F371" i="10"/>
  <c r="E371" i="10"/>
  <c r="J370" i="10"/>
  <c r="F370" i="10"/>
  <c r="E370" i="10"/>
  <c r="J369" i="10"/>
  <c r="F369" i="10"/>
  <c r="E369" i="10"/>
  <c r="J368" i="10"/>
  <c r="F368" i="10"/>
  <c r="E368" i="10"/>
  <c r="J367" i="10"/>
  <c r="F367" i="10"/>
  <c r="E367" i="10"/>
  <c r="J366" i="10"/>
  <c r="F366" i="10"/>
  <c r="E366" i="10"/>
  <c r="J365" i="10"/>
  <c r="F365" i="10"/>
  <c r="E365" i="10"/>
  <c r="J364" i="10"/>
  <c r="F364" i="10"/>
  <c r="E364" i="10"/>
  <c r="J363" i="10"/>
  <c r="F363" i="10"/>
  <c r="E363" i="10"/>
  <c r="J362" i="10"/>
  <c r="F362" i="10"/>
  <c r="E362" i="10"/>
  <c r="J361" i="10"/>
  <c r="F361" i="10"/>
  <c r="E361" i="10"/>
  <c r="J360" i="10"/>
  <c r="F360" i="10"/>
  <c r="E360" i="10"/>
  <c r="J359" i="10"/>
  <c r="F359" i="10"/>
  <c r="E359" i="10"/>
  <c r="J358" i="10"/>
  <c r="F358" i="10"/>
  <c r="E358" i="10"/>
  <c r="J357" i="10"/>
  <c r="F357" i="10"/>
  <c r="E357" i="10"/>
  <c r="J356" i="10"/>
  <c r="F356" i="10"/>
  <c r="E356" i="10"/>
  <c r="J355" i="10"/>
  <c r="F355" i="10"/>
  <c r="E355" i="10"/>
  <c r="J354" i="10"/>
  <c r="F354" i="10"/>
  <c r="E354" i="10"/>
  <c r="J353" i="10"/>
  <c r="F353" i="10"/>
  <c r="E353" i="10"/>
  <c r="J352" i="10"/>
  <c r="F352" i="10"/>
  <c r="E352" i="10"/>
  <c r="J351" i="10"/>
  <c r="F351" i="10"/>
  <c r="E351" i="10"/>
  <c r="J350" i="10"/>
  <c r="F350" i="10"/>
  <c r="E350" i="10"/>
  <c r="J349" i="10"/>
  <c r="F349" i="10"/>
  <c r="E349" i="10"/>
  <c r="J348" i="10"/>
  <c r="F348" i="10"/>
  <c r="E348" i="10"/>
  <c r="J347" i="10"/>
  <c r="F347" i="10"/>
  <c r="E347" i="10"/>
  <c r="J346" i="10"/>
  <c r="F346" i="10"/>
  <c r="E346" i="10"/>
  <c r="J345" i="10"/>
  <c r="F345" i="10"/>
  <c r="E345" i="10"/>
  <c r="J344" i="10"/>
  <c r="F344" i="10"/>
  <c r="E344" i="10"/>
  <c r="J343" i="10"/>
  <c r="F343" i="10"/>
  <c r="E343" i="10"/>
  <c r="J342" i="10"/>
  <c r="F342" i="10"/>
  <c r="E342" i="10"/>
  <c r="J341" i="10"/>
  <c r="F341" i="10"/>
  <c r="E341" i="10"/>
  <c r="J340" i="10"/>
  <c r="F340" i="10"/>
  <c r="E340" i="10"/>
  <c r="J339" i="10"/>
  <c r="F339" i="10"/>
  <c r="E339" i="10"/>
  <c r="J338" i="10"/>
  <c r="F338" i="10"/>
  <c r="E338" i="10"/>
  <c r="J337" i="10"/>
  <c r="F337" i="10"/>
  <c r="E337" i="10"/>
  <c r="J336" i="10"/>
  <c r="F336" i="10"/>
  <c r="E336" i="10"/>
  <c r="J335" i="10"/>
  <c r="F335" i="10"/>
  <c r="E335" i="10"/>
  <c r="J334" i="10"/>
  <c r="F334" i="10"/>
  <c r="E334" i="10"/>
  <c r="J333" i="10"/>
  <c r="F333" i="10"/>
  <c r="E333" i="10"/>
  <c r="J332" i="10"/>
  <c r="F332" i="10"/>
  <c r="E332" i="10"/>
  <c r="J331" i="10"/>
  <c r="F331" i="10"/>
  <c r="E331" i="10"/>
  <c r="J330" i="10"/>
  <c r="F330" i="10"/>
  <c r="E330" i="10"/>
  <c r="J329" i="10"/>
  <c r="F329" i="10"/>
  <c r="E329" i="10"/>
  <c r="J328" i="10"/>
  <c r="F328" i="10"/>
  <c r="E328" i="10"/>
  <c r="J327" i="10"/>
  <c r="F327" i="10"/>
  <c r="E327" i="10"/>
  <c r="J326" i="10"/>
  <c r="F326" i="10"/>
  <c r="E326" i="10"/>
  <c r="J325" i="10"/>
  <c r="F325" i="10"/>
  <c r="E325" i="10"/>
  <c r="J324" i="10"/>
  <c r="F324" i="10"/>
  <c r="E324" i="10"/>
  <c r="J323" i="10"/>
  <c r="F323" i="10"/>
  <c r="E323" i="10"/>
  <c r="J322" i="10"/>
  <c r="F322" i="10"/>
  <c r="E322" i="10"/>
  <c r="J321" i="10"/>
  <c r="F321" i="10"/>
  <c r="E321" i="10"/>
  <c r="J320" i="10"/>
  <c r="F320" i="10"/>
  <c r="E320" i="10"/>
  <c r="J319" i="10"/>
  <c r="F319" i="10"/>
  <c r="E319" i="10"/>
  <c r="J318" i="10"/>
  <c r="F318" i="10"/>
  <c r="E318" i="10"/>
  <c r="J317" i="10"/>
  <c r="F317" i="10"/>
  <c r="E317" i="10"/>
  <c r="J316" i="10"/>
  <c r="F316" i="10"/>
  <c r="E316" i="10"/>
  <c r="J315" i="10"/>
  <c r="F315" i="10"/>
  <c r="E315" i="10"/>
  <c r="J314" i="10"/>
  <c r="F314" i="10"/>
  <c r="E314" i="10"/>
  <c r="J313" i="10"/>
  <c r="F313" i="10"/>
  <c r="E313" i="10"/>
  <c r="J312" i="10"/>
  <c r="F312" i="10"/>
  <c r="E312" i="10"/>
  <c r="J311" i="10"/>
  <c r="F311" i="10"/>
  <c r="E311" i="10"/>
  <c r="J310" i="10"/>
  <c r="F310" i="10"/>
  <c r="E310" i="10"/>
  <c r="J309" i="10"/>
  <c r="F309" i="10"/>
  <c r="E309" i="10"/>
  <c r="J308" i="10"/>
  <c r="F308" i="10"/>
  <c r="E308" i="10"/>
  <c r="J307" i="10"/>
  <c r="F307" i="10"/>
  <c r="E307" i="10"/>
  <c r="J306" i="10"/>
  <c r="F306" i="10"/>
  <c r="E306" i="10"/>
  <c r="J305" i="10"/>
  <c r="F305" i="10"/>
  <c r="E305" i="10"/>
  <c r="J304" i="10"/>
  <c r="F304" i="10"/>
  <c r="E304" i="10"/>
  <c r="J303" i="10"/>
  <c r="F303" i="10"/>
  <c r="E303" i="10"/>
  <c r="J302" i="10"/>
  <c r="F302" i="10"/>
  <c r="E302" i="10"/>
  <c r="J301" i="10"/>
  <c r="F301" i="10"/>
  <c r="E301" i="10"/>
  <c r="J300" i="10"/>
  <c r="F300" i="10"/>
  <c r="E300" i="10"/>
  <c r="J299" i="10"/>
  <c r="F299" i="10"/>
  <c r="E299" i="10"/>
  <c r="J298" i="10"/>
  <c r="F298" i="10"/>
  <c r="E298" i="10"/>
  <c r="J297" i="10"/>
  <c r="F297" i="10"/>
  <c r="E297" i="10"/>
  <c r="J296" i="10"/>
  <c r="F296" i="10"/>
  <c r="E296" i="10"/>
  <c r="J295" i="10"/>
  <c r="F295" i="10"/>
  <c r="E295" i="10"/>
  <c r="J294" i="10"/>
  <c r="F294" i="10"/>
  <c r="E294" i="10"/>
  <c r="J293" i="10"/>
  <c r="F293" i="10"/>
  <c r="E293" i="10"/>
  <c r="J292" i="10"/>
  <c r="F292" i="10"/>
  <c r="E292" i="10"/>
  <c r="J291" i="10"/>
  <c r="F291" i="10"/>
  <c r="E291" i="10"/>
  <c r="J290" i="10"/>
  <c r="F290" i="10"/>
  <c r="E290" i="10"/>
  <c r="J289" i="10"/>
  <c r="F289" i="10"/>
  <c r="E289" i="10"/>
  <c r="J288" i="10"/>
  <c r="F288" i="10"/>
  <c r="E288" i="10"/>
  <c r="J287" i="10"/>
  <c r="F287" i="10"/>
  <c r="E287" i="10"/>
  <c r="J286" i="10"/>
  <c r="F286" i="10"/>
  <c r="E286" i="10"/>
  <c r="J285" i="10"/>
  <c r="F285" i="10"/>
  <c r="E285" i="10"/>
  <c r="J284" i="10"/>
  <c r="F284" i="10"/>
  <c r="E284" i="10"/>
  <c r="J283" i="10"/>
  <c r="F283" i="10"/>
  <c r="E283" i="10"/>
  <c r="J282" i="10"/>
  <c r="F282" i="10"/>
  <c r="E282" i="10"/>
  <c r="J281" i="10"/>
  <c r="F281" i="10"/>
  <c r="E281" i="10"/>
  <c r="J280" i="10"/>
  <c r="F280" i="10"/>
  <c r="E280" i="10"/>
  <c r="J279" i="10"/>
  <c r="F279" i="10"/>
  <c r="E279" i="10"/>
  <c r="J278" i="10"/>
  <c r="F278" i="10"/>
  <c r="E278" i="10"/>
  <c r="J277" i="10"/>
  <c r="F277" i="10"/>
  <c r="E277" i="10"/>
  <c r="J276" i="10"/>
  <c r="F276" i="10"/>
  <c r="E276" i="10"/>
  <c r="J275" i="10"/>
  <c r="F275" i="10"/>
  <c r="E275" i="10"/>
  <c r="J274" i="10"/>
  <c r="F274" i="10"/>
  <c r="E274" i="10"/>
  <c r="J273" i="10"/>
  <c r="F273" i="10"/>
  <c r="E273" i="10"/>
  <c r="J272" i="10"/>
  <c r="F272" i="10"/>
  <c r="E272" i="10"/>
  <c r="J271" i="10"/>
  <c r="F271" i="10"/>
  <c r="E271" i="10"/>
  <c r="J270" i="10"/>
  <c r="F270" i="10"/>
  <c r="E270" i="10"/>
  <c r="J269" i="10"/>
  <c r="F269" i="10"/>
  <c r="E269" i="10"/>
  <c r="J268" i="10"/>
  <c r="F268" i="10"/>
  <c r="E268" i="10"/>
  <c r="J267" i="10"/>
  <c r="F267" i="10"/>
  <c r="E267" i="10"/>
  <c r="J266" i="10"/>
  <c r="F266" i="10"/>
  <c r="E266" i="10"/>
  <c r="J265" i="10"/>
  <c r="F265" i="10"/>
  <c r="E265" i="10"/>
  <c r="J264" i="10"/>
  <c r="F264" i="10"/>
  <c r="E264" i="10"/>
  <c r="J263" i="10"/>
  <c r="F263" i="10"/>
  <c r="E263" i="10"/>
  <c r="J262" i="10"/>
  <c r="F262" i="10"/>
  <c r="E262" i="10"/>
  <c r="J261" i="10"/>
  <c r="F261" i="10"/>
  <c r="E261" i="10"/>
  <c r="J260" i="10"/>
  <c r="F260" i="10"/>
  <c r="E260" i="10"/>
  <c r="J259" i="10"/>
  <c r="F259" i="10"/>
  <c r="E259" i="10"/>
  <c r="J258" i="10"/>
  <c r="F258" i="10"/>
  <c r="E258" i="10"/>
  <c r="J257" i="10"/>
  <c r="F257" i="10"/>
  <c r="E257" i="10"/>
  <c r="J256" i="10"/>
  <c r="F256" i="10"/>
  <c r="E256" i="10"/>
  <c r="J255" i="10"/>
  <c r="F255" i="10"/>
  <c r="E255" i="10"/>
  <c r="J254" i="10"/>
  <c r="F254" i="10"/>
  <c r="E254" i="10"/>
  <c r="J253" i="10"/>
  <c r="F253" i="10"/>
  <c r="E253" i="10"/>
  <c r="J252" i="10"/>
  <c r="F252" i="10"/>
  <c r="E252" i="10"/>
  <c r="J251" i="10"/>
  <c r="F251" i="10"/>
  <c r="E251" i="10"/>
  <c r="J250" i="10"/>
  <c r="F250" i="10"/>
  <c r="E250" i="10"/>
  <c r="J249" i="10"/>
  <c r="F249" i="10"/>
  <c r="E249" i="10"/>
  <c r="J248" i="10"/>
  <c r="F248" i="10"/>
  <c r="E248" i="10"/>
  <c r="J247" i="10"/>
  <c r="F247" i="10"/>
  <c r="E247" i="10"/>
  <c r="J246" i="10"/>
  <c r="F246" i="10"/>
  <c r="E246" i="10"/>
  <c r="J245" i="10"/>
  <c r="F245" i="10"/>
  <c r="E245" i="10"/>
  <c r="J244" i="10"/>
  <c r="F244" i="10"/>
  <c r="E244" i="10"/>
  <c r="J243" i="10"/>
  <c r="F243" i="10"/>
  <c r="E243" i="10"/>
  <c r="J242" i="10"/>
  <c r="F242" i="10"/>
  <c r="E242" i="10"/>
  <c r="J241" i="10"/>
  <c r="F241" i="10"/>
  <c r="E241" i="10"/>
  <c r="J240" i="10"/>
  <c r="F240" i="10"/>
  <c r="E240" i="10"/>
  <c r="J239" i="10"/>
  <c r="F239" i="10"/>
  <c r="E239" i="10"/>
  <c r="J238" i="10"/>
  <c r="F238" i="10"/>
  <c r="E238" i="10"/>
  <c r="J237" i="10"/>
  <c r="F237" i="10"/>
  <c r="E237" i="10"/>
  <c r="J236" i="10"/>
  <c r="F236" i="10"/>
  <c r="E236" i="10"/>
  <c r="J235" i="10"/>
  <c r="F235" i="10"/>
  <c r="E235" i="10"/>
  <c r="J234" i="10"/>
  <c r="F234" i="10"/>
  <c r="E234" i="10"/>
  <c r="J233" i="10"/>
  <c r="F233" i="10"/>
  <c r="E233" i="10"/>
  <c r="J232" i="10"/>
  <c r="F232" i="10"/>
  <c r="E232" i="10"/>
  <c r="J231" i="10"/>
  <c r="F231" i="10"/>
  <c r="E231" i="10"/>
  <c r="J230" i="10"/>
  <c r="F230" i="10"/>
  <c r="E230" i="10"/>
  <c r="J229" i="10"/>
  <c r="F229" i="10"/>
  <c r="E229" i="10"/>
  <c r="J228" i="10"/>
  <c r="F228" i="10"/>
  <c r="E228" i="10"/>
  <c r="J227" i="10"/>
  <c r="F227" i="10"/>
  <c r="E227" i="10"/>
  <c r="J226" i="10"/>
  <c r="F226" i="10"/>
  <c r="E226" i="10"/>
  <c r="J225" i="10"/>
  <c r="F225" i="10"/>
  <c r="E225" i="10"/>
  <c r="J224" i="10"/>
  <c r="F224" i="10"/>
  <c r="E224" i="10"/>
  <c r="J223" i="10"/>
  <c r="F223" i="10"/>
  <c r="E223" i="10"/>
  <c r="J222" i="10"/>
  <c r="F222" i="10"/>
  <c r="E222" i="10"/>
  <c r="J221" i="10"/>
  <c r="F221" i="10"/>
  <c r="E221" i="10"/>
  <c r="J220" i="10"/>
  <c r="F220" i="10"/>
  <c r="E220" i="10"/>
  <c r="J219" i="10"/>
  <c r="F219" i="10"/>
  <c r="E219" i="10"/>
  <c r="J218" i="10"/>
  <c r="F218" i="10"/>
  <c r="E218" i="10"/>
  <c r="J217" i="10"/>
  <c r="F217" i="10"/>
  <c r="E217" i="10"/>
  <c r="J216" i="10"/>
  <c r="F216" i="10"/>
  <c r="E216" i="10"/>
  <c r="J215" i="10"/>
  <c r="F215" i="10"/>
  <c r="E215" i="10"/>
  <c r="J214" i="10"/>
  <c r="F214" i="10"/>
  <c r="E214" i="10"/>
  <c r="J213" i="10"/>
  <c r="F213" i="10"/>
  <c r="E213" i="10"/>
  <c r="J212" i="10"/>
  <c r="F212" i="10"/>
  <c r="E212" i="10"/>
  <c r="J211" i="10"/>
  <c r="F211" i="10"/>
  <c r="E211" i="10"/>
  <c r="J210" i="10"/>
  <c r="F210" i="10"/>
  <c r="E210" i="10"/>
  <c r="J209" i="10"/>
  <c r="F209" i="10"/>
  <c r="E209" i="10"/>
  <c r="J208" i="10"/>
  <c r="F208" i="10"/>
  <c r="E208" i="10"/>
  <c r="J207" i="10"/>
  <c r="F207" i="10"/>
  <c r="E207" i="10"/>
  <c r="J206" i="10"/>
  <c r="F206" i="10"/>
  <c r="E206" i="10"/>
  <c r="J205" i="10"/>
  <c r="F205" i="10"/>
  <c r="E205" i="10"/>
  <c r="J204" i="10"/>
  <c r="F204" i="10"/>
  <c r="E204" i="10"/>
  <c r="J203" i="10"/>
  <c r="F203" i="10"/>
  <c r="E203" i="10"/>
  <c r="J202" i="10"/>
  <c r="F202" i="10"/>
  <c r="E202" i="10"/>
  <c r="J201" i="10"/>
  <c r="F201" i="10"/>
  <c r="E201" i="10"/>
  <c r="J200" i="10"/>
  <c r="F200" i="10"/>
  <c r="E200" i="10"/>
  <c r="J199" i="10"/>
  <c r="F199" i="10"/>
  <c r="E199" i="10"/>
  <c r="J198" i="10"/>
  <c r="F198" i="10"/>
  <c r="E198" i="10"/>
  <c r="J197" i="10"/>
  <c r="F197" i="10"/>
  <c r="E197" i="10"/>
  <c r="J196" i="10"/>
  <c r="F196" i="10"/>
  <c r="E196" i="10"/>
  <c r="J195" i="10"/>
  <c r="F195" i="10"/>
  <c r="E195" i="10"/>
  <c r="J194" i="10"/>
  <c r="F194" i="10"/>
  <c r="E194" i="10"/>
  <c r="J193" i="10"/>
  <c r="F193" i="10"/>
  <c r="E193" i="10"/>
  <c r="J192" i="10"/>
  <c r="F192" i="10"/>
  <c r="E192" i="10"/>
  <c r="J191" i="10"/>
  <c r="F191" i="10"/>
  <c r="E191" i="10"/>
  <c r="J190" i="10"/>
  <c r="F190" i="10"/>
  <c r="E190" i="10"/>
  <c r="J189" i="10"/>
  <c r="F189" i="10"/>
  <c r="E189" i="10"/>
  <c r="J188" i="10"/>
  <c r="F188" i="10"/>
  <c r="E188" i="10"/>
  <c r="J187" i="10"/>
  <c r="F187" i="10"/>
  <c r="E187" i="10"/>
  <c r="J186" i="10"/>
  <c r="F186" i="10"/>
  <c r="E186" i="10"/>
  <c r="J185" i="10"/>
  <c r="F185" i="10"/>
  <c r="E185" i="10"/>
  <c r="J184" i="10"/>
  <c r="F184" i="10"/>
  <c r="E184" i="10"/>
  <c r="J183" i="10"/>
  <c r="F183" i="10"/>
  <c r="E183" i="10"/>
  <c r="J182" i="10"/>
  <c r="F182" i="10"/>
  <c r="E182" i="10"/>
  <c r="J181" i="10"/>
  <c r="F181" i="10"/>
  <c r="E181" i="10"/>
  <c r="J180" i="10"/>
  <c r="F180" i="10"/>
  <c r="E180" i="10"/>
  <c r="J179" i="10"/>
  <c r="F179" i="10"/>
  <c r="E179" i="10"/>
  <c r="J178" i="10"/>
  <c r="F178" i="10"/>
  <c r="E178" i="10"/>
  <c r="J177" i="10"/>
  <c r="F177" i="10"/>
  <c r="E177" i="10"/>
  <c r="J176" i="10"/>
  <c r="F176" i="10"/>
  <c r="E176" i="10"/>
  <c r="J175" i="10"/>
  <c r="F175" i="10"/>
  <c r="E175" i="10"/>
  <c r="J174" i="10"/>
  <c r="F174" i="10"/>
  <c r="E174" i="10"/>
  <c r="J173" i="10"/>
  <c r="F173" i="10"/>
  <c r="E173" i="10"/>
  <c r="J172" i="10"/>
  <c r="F172" i="10"/>
  <c r="E172" i="10"/>
  <c r="J171" i="10"/>
  <c r="F171" i="10"/>
  <c r="E171" i="10"/>
  <c r="J170" i="10"/>
  <c r="F170" i="10"/>
  <c r="E170" i="10"/>
  <c r="J169" i="10"/>
  <c r="F169" i="10"/>
  <c r="E169" i="10"/>
  <c r="J168" i="10"/>
  <c r="F168" i="10"/>
  <c r="E168" i="10"/>
  <c r="J167" i="10"/>
  <c r="F167" i="10"/>
  <c r="E167" i="10"/>
  <c r="J166" i="10"/>
  <c r="F166" i="10"/>
  <c r="E166" i="10"/>
  <c r="J165" i="10"/>
  <c r="F165" i="10"/>
  <c r="E165" i="10"/>
  <c r="J164" i="10"/>
  <c r="F164" i="10"/>
  <c r="E164" i="10"/>
  <c r="J163" i="10"/>
  <c r="F163" i="10"/>
  <c r="E163" i="10"/>
  <c r="J162" i="10"/>
  <c r="F162" i="10"/>
  <c r="E162" i="10"/>
  <c r="J161" i="10"/>
  <c r="F161" i="10"/>
  <c r="E161" i="10"/>
  <c r="J160" i="10"/>
  <c r="F160" i="10"/>
  <c r="E160" i="10"/>
  <c r="J159" i="10"/>
  <c r="F159" i="10"/>
  <c r="E159" i="10"/>
  <c r="J158" i="10"/>
  <c r="F158" i="10"/>
  <c r="E158" i="10"/>
  <c r="J157" i="10"/>
  <c r="F157" i="10"/>
  <c r="E157" i="10"/>
  <c r="J156" i="10"/>
  <c r="F156" i="10"/>
  <c r="E156" i="10"/>
  <c r="J155" i="10"/>
  <c r="F155" i="10"/>
  <c r="E155" i="10"/>
  <c r="J154" i="10"/>
  <c r="F154" i="10"/>
  <c r="E154" i="10"/>
  <c r="J153" i="10"/>
  <c r="F153" i="10"/>
  <c r="E153" i="10"/>
  <c r="J152" i="10"/>
  <c r="F152" i="10"/>
  <c r="E152" i="10"/>
  <c r="J151" i="10"/>
  <c r="F151" i="10"/>
  <c r="E151" i="10"/>
  <c r="J150" i="10"/>
  <c r="F150" i="10"/>
  <c r="E150" i="10"/>
  <c r="J149" i="10"/>
  <c r="F149" i="10"/>
  <c r="E149" i="10"/>
  <c r="J148" i="10"/>
  <c r="F148" i="10"/>
  <c r="E148" i="10"/>
  <c r="J147" i="10"/>
  <c r="F147" i="10"/>
  <c r="E147" i="10"/>
  <c r="J146" i="10"/>
  <c r="F146" i="10"/>
  <c r="E146" i="10"/>
  <c r="J145" i="10"/>
  <c r="F145" i="10"/>
  <c r="E145" i="10"/>
  <c r="J144" i="10"/>
  <c r="F144" i="10"/>
  <c r="E144" i="10"/>
  <c r="J143" i="10"/>
  <c r="F143" i="10"/>
  <c r="E143" i="10"/>
  <c r="J142" i="10"/>
  <c r="F142" i="10"/>
  <c r="E142" i="10"/>
  <c r="J141" i="10"/>
  <c r="F141" i="10"/>
  <c r="E141" i="10"/>
  <c r="J140" i="10"/>
  <c r="F140" i="10"/>
  <c r="E140" i="10"/>
  <c r="J139" i="10"/>
  <c r="F139" i="10"/>
  <c r="E139" i="10"/>
  <c r="J138" i="10"/>
  <c r="F138" i="10"/>
  <c r="E138" i="10"/>
  <c r="J137" i="10"/>
  <c r="F137" i="10"/>
  <c r="E137" i="10"/>
  <c r="J136" i="10"/>
  <c r="F136" i="10"/>
  <c r="E136" i="10"/>
  <c r="J135" i="10"/>
  <c r="F135" i="10"/>
  <c r="E135" i="10"/>
  <c r="J134" i="10"/>
  <c r="F134" i="10"/>
  <c r="E134" i="10"/>
  <c r="J133" i="10"/>
  <c r="F133" i="10"/>
  <c r="E133" i="10"/>
  <c r="J132" i="10"/>
  <c r="F132" i="10"/>
  <c r="E132" i="10"/>
  <c r="J131" i="10"/>
  <c r="F131" i="10"/>
  <c r="E131" i="10"/>
  <c r="J130" i="10"/>
  <c r="F130" i="10"/>
  <c r="E130" i="10"/>
  <c r="J129" i="10"/>
  <c r="F129" i="10"/>
  <c r="E129" i="10"/>
  <c r="J128" i="10"/>
  <c r="F128" i="10"/>
  <c r="E128" i="10"/>
  <c r="J127" i="10"/>
  <c r="F127" i="10"/>
  <c r="E127" i="10"/>
  <c r="J126" i="10"/>
  <c r="F126" i="10"/>
  <c r="E126" i="10"/>
  <c r="J125" i="10"/>
  <c r="F125" i="10"/>
  <c r="E125" i="10"/>
  <c r="J124" i="10"/>
  <c r="F124" i="10"/>
  <c r="E124" i="10"/>
  <c r="J123" i="10"/>
  <c r="F123" i="10"/>
  <c r="E123" i="10"/>
  <c r="J122" i="10"/>
  <c r="F122" i="10"/>
  <c r="E122" i="10"/>
  <c r="J121" i="10"/>
  <c r="F121" i="10"/>
  <c r="E121" i="10"/>
  <c r="J120" i="10"/>
  <c r="F120" i="10"/>
  <c r="E120" i="10"/>
  <c r="J119" i="10"/>
  <c r="F119" i="10"/>
  <c r="E119" i="10"/>
  <c r="J118" i="10"/>
  <c r="F118" i="10"/>
  <c r="E118" i="10"/>
  <c r="J117" i="10"/>
  <c r="F117" i="10"/>
  <c r="E117" i="10"/>
  <c r="J116" i="10"/>
  <c r="F116" i="10"/>
  <c r="E116" i="10"/>
  <c r="J115" i="10"/>
  <c r="F115" i="10"/>
  <c r="E115" i="10"/>
  <c r="J114" i="10"/>
  <c r="F114" i="10"/>
  <c r="E114" i="10"/>
  <c r="J113" i="10"/>
  <c r="F113" i="10"/>
  <c r="E113" i="10"/>
  <c r="J112" i="10"/>
  <c r="F112" i="10"/>
  <c r="E112" i="10"/>
  <c r="J111" i="10"/>
  <c r="F111" i="10"/>
  <c r="E111" i="10"/>
  <c r="J110" i="10"/>
  <c r="F110" i="10"/>
  <c r="E110" i="10"/>
  <c r="J109" i="10"/>
  <c r="F109" i="10"/>
  <c r="E109" i="10"/>
  <c r="J108" i="10"/>
  <c r="F108" i="10"/>
  <c r="E108" i="10"/>
  <c r="J107" i="10"/>
  <c r="F107" i="10"/>
  <c r="E107" i="10"/>
  <c r="J106" i="10"/>
  <c r="F106" i="10"/>
  <c r="E106" i="10"/>
  <c r="J105" i="10"/>
  <c r="F105" i="10"/>
  <c r="E105" i="10"/>
  <c r="J104" i="10"/>
  <c r="F104" i="10"/>
  <c r="E104" i="10"/>
  <c r="J103" i="10"/>
  <c r="F103" i="10"/>
  <c r="E103" i="10"/>
  <c r="J102" i="10"/>
  <c r="F102" i="10"/>
  <c r="E102" i="10"/>
  <c r="J101" i="10"/>
  <c r="F101" i="10"/>
  <c r="E101" i="10"/>
  <c r="J100" i="10"/>
  <c r="F100" i="10"/>
  <c r="E100" i="10"/>
  <c r="J99" i="10"/>
  <c r="F99" i="10"/>
  <c r="E99" i="10"/>
  <c r="J98" i="10"/>
  <c r="F98" i="10"/>
  <c r="E98" i="10"/>
  <c r="J97" i="10"/>
  <c r="F97" i="10"/>
  <c r="E97" i="10"/>
  <c r="J96" i="10"/>
  <c r="F96" i="10"/>
  <c r="E96" i="10"/>
  <c r="J95" i="10"/>
  <c r="F95" i="10"/>
  <c r="E95" i="10"/>
  <c r="J94" i="10"/>
  <c r="F94" i="10"/>
  <c r="E94" i="10"/>
  <c r="J93" i="10"/>
  <c r="F93" i="10"/>
  <c r="E93" i="10"/>
  <c r="J92" i="10"/>
  <c r="F92" i="10"/>
  <c r="E92" i="10"/>
  <c r="J91" i="10"/>
  <c r="F91" i="10"/>
  <c r="E91" i="10"/>
  <c r="J90" i="10"/>
  <c r="F90" i="10"/>
  <c r="E90" i="10"/>
  <c r="J89" i="10"/>
  <c r="F89" i="10"/>
  <c r="E89" i="10"/>
  <c r="J88" i="10"/>
  <c r="F88" i="10"/>
  <c r="E88" i="10"/>
  <c r="J87" i="10"/>
  <c r="F87" i="10"/>
  <c r="E87" i="10"/>
  <c r="J86" i="10"/>
  <c r="F86" i="10"/>
  <c r="E86" i="10"/>
  <c r="J85" i="10"/>
  <c r="F85" i="10"/>
  <c r="E85" i="10"/>
  <c r="J84" i="10"/>
  <c r="F84" i="10"/>
  <c r="E84" i="10"/>
  <c r="J83" i="10"/>
  <c r="F83" i="10"/>
  <c r="E83" i="10"/>
  <c r="J82" i="10"/>
  <c r="F82" i="10"/>
  <c r="E82" i="10"/>
  <c r="J81" i="10"/>
  <c r="F81" i="10"/>
  <c r="E81" i="10"/>
  <c r="J80" i="10"/>
  <c r="F80" i="10"/>
  <c r="E80" i="10"/>
  <c r="J79" i="10"/>
  <c r="F79" i="10"/>
  <c r="E79" i="10"/>
  <c r="J78" i="10"/>
  <c r="F78" i="10"/>
  <c r="E78" i="10"/>
  <c r="J77" i="10"/>
  <c r="F77" i="10"/>
  <c r="E77" i="10"/>
  <c r="J76" i="10"/>
  <c r="F76" i="10"/>
  <c r="E76" i="10"/>
  <c r="J75" i="10"/>
  <c r="F75" i="10"/>
  <c r="E75" i="10"/>
  <c r="J74" i="10"/>
  <c r="F74" i="10"/>
  <c r="E74" i="10"/>
  <c r="J73" i="10"/>
  <c r="F73" i="10"/>
  <c r="E73" i="10"/>
  <c r="J72" i="10"/>
  <c r="F72" i="10"/>
  <c r="E72" i="10"/>
  <c r="J71" i="10"/>
  <c r="F71" i="10"/>
  <c r="E71" i="10"/>
  <c r="J70" i="10"/>
  <c r="F70" i="10"/>
  <c r="E70" i="10"/>
  <c r="J69" i="10"/>
  <c r="F69" i="10"/>
  <c r="E69" i="10"/>
  <c r="J68" i="10"/>
  <c r="F68" i="10"/>
  <c r="E68" i="10"/>
  <c r="J67" i="10"/>
  <c r="F67" i="10"/>
  <c r="E67" i="10"/>
  <c r="J66" i="10"/>
  <c r="F66" i="10"/>
  <c r="E66" i="10"/>
  <c r="J65" i="10"/>
  <c r="F65" i="10"/>
  <c r="E65" i="10"/>
  <c r="J64" i="10"/>
  <c r="F64" i="10"/>
  <c r="E64" i="10"/>
  <c r="J63" i="10"/>
  <c r="F63" i="10"/>
  <c r="E63" i="10"/>
  <c r="J62" i="10"/>
  <c r="F62" i="10"/>
  <c r="E62" i="10"/>
  <c r="J61" i="10"/>
  <c r="F61" i="10"/>
  <c r="E61" i="10"/>
  <c r="J60" i="10"/>
  <c r="F60" i="10"/>
  <c r="E60" i="10"/>
  <c r="J59" i="10"/>
  <c r="F59" i="10"/>
  <c r="E59" i="10"/>
  <c r="J58" i="10"/>
  <c r="F58" i="10"/>
  <c r="E58" i="10"/>
  <c r="J57" i="10"/>
  <c r="F57" i="10"/>
  <c r="E57" i="10"/>
  <c r="J56" i="10"/>
  <c r="F56" i="10"/>
  <c r="E56" i="10"/>
  <c r="J55" i="10"/>
  <c r="F55" i="10"/>
  <c r="E55" i="10"/>
  <c r="J54" i="10"/>
  <c r="F54" i="10"/>
  <c r="E54" i="10"/>
  <c r="J53" i="10"/>
  <c r="F53" i="10"/>
  <c r="E53" i="10"/>
  <c r="J52" i="10"/>
  <c r="F52" i="10"/>
  <c r="E52" i="10"/>
  <c r="J51" i="10"/>
  <c r="F51" i="10"/>
  <c r="E51" i="10"/>
  <c r="J50" i="10"/>
  <c r="F50" i="10"/>
  <c r="E50" i="10"/>
  <c r="J49" i="10"/>
  <c r="F49" i="10"/>
  <c r="E49" i="10"/>
  <c r="J48" i="10"/>
  <c r="F48" i="10"/>
  <c r="E48" i="10"/>
  <c r="J47" i="10"/>
  <c r="F47" i="10"/>
  <c r="E47" i="10"/>
  <c r="J46" i="10"/>
  <c r="F46" i="10"/>
  <c r="E46" i="10"/>
  <c r="J45" i="10"/>
  <c r="F45" i="10"/>
  <c r="E45" i="10"/>
  <c r="J44" i="10"/>
  <c r="F44" i="10"/>
  <c r="E44" i="10"/>
  <c r="J43" i="10"/>
  <c r="F43" i="10"/>
  <c r="E43" i="10"/>
  <c r="J42" i="10"/>
  <c r="F42" i="10"/>
  <c r="E42" i="10"/>
  <c r="J41" i="10"/>
  <c r="F41" i="10"/>
  <c r="E41" i="10"/>
  <c r="J40" i="10"/>
  <c r="F40" i="10"/>
  <c r="E40" i="10"/>
  <c r="J39" i="10"/>
  <c r="F39" i="10"/>
  <c r="E39" i="10"/>
  <c r="J38" i="10"/>
  <c r="F38" i="10"/>
  <c r="E38" i="10"/>
  <c r="J37" i="10"/>
  <c r="F37" i="10"/>
  <c r="E37" i="10"/>
  <c r="J36" i="10"/>
  <c r="F36" i="10"/>
  <c r="E36" i="10"/>
  <c r="J35" i="10"/>
  <c r="F35" i="10"/>
  <c r="E35" i="10"/>
  <c r="J34" i="10"/>
  <c r="F34" i="10"/>
  <c r="E34" i="10"/>
  <c r="J33" i="10"/>
  <c r="F33" i="10"/>
  <c r="E33" i="10"/>
  <c r="J32" i="10"/>
  <c r="F32" i="10"/>
  <c r="E32" i="10"/>
  <c r="J31" i="10"/>
  <c r="F31" i="10"/>
  <c r="E31" i="10"/>
  <c r="J30" i="10"/>
  <c r="F30" i="10"/>
  <c r="E30" i="10"/>
  <c r="J29" i="10"/>
  <c r="F29" i="10"/>
  <c r="E29" i="10"/>
  <c r="J28" i="10"/>
  <c r="F28" i="10"/>
  <c r="E28" i="10"/>
  <c r="J27" i="10"/>
  <c r="F27" i="10"/>
  <c r="E27" i="10"/>
  <c r="J26" i="10"/>
  <c r="F26" i="10"/>
  <c r="E26" i="10"/>
  <c r="J25" i="10"/>
  <c r="F25" i="10"/>
  <c r="E25" i="10"/>
  <c r="J24" i="10"/>
  <c r="F24" i="10"/>
  <c r="E24" i="10"/>
  <c r="J23" i="10"/>
  <c r="F23" i="10"/>
  <c r="E23" i="10"/>
  <c r="J22" i="10"/>
  <c r="F22" i="10"/>
  <c r="E22" i="10"/>
  <c r="J21" i="10"/>
  <c r="F21" i="10"/>
  <c r="E21" i="10"/>
  <c r="J20" i="10"/>
  <c r="F20" i="10"/>
  <c r="E20" i="10"/>
  <c r="J19" i="10"/>
  <c r="F19" i="10"/>
  <c r="E19" i="10"/>
  <c r="J18" i="10"/>
  <c r="F18" i="10"/>
  <c r="E18" i="10"/>
  <c r="J17" i="10"/>
  <c r="F17" i="10"/>
  <c r="E17" i="10"/>
  <c r="J16" i="10"/>
  <c r="F16" i="10"/>
  <c r="E16" i="10"/>
  <c r="J15" i="10"/>
  <c r="F15" i="10"/>
  <c r="E15" i="10"/>
  <c r="J14" i="10"/>
  <c r="F14" i="10"/>
  <c r="E14" i="10"/>
  <c r="J13" i="10"/>
  <c r="F13" i="10"/>
  <c r="E13" i="10"/>
  <c r="I3" i="9" l="1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2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F9" i="10" l="1"/>
  <c r="F6" i="10"/>
  <c r="G6" i="10"/>
  <c r="H9" i="10"/>
  <c r="G9" i="10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Customer Dashboard!$B$13:$H$843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CustomerDashboardB13H8431"/>
        </x15:connection>
      </ext>
    </extLst>
  </connection>
  <connection id="3" name="WorksheetConnection_CustomerOrders-01.xlsx!CustomerInfo" type="102" refreshedVersion="6" minRefreshableVersion="5">
    <extLst>
      <ext xmlns:x15="http://schemas.microsoft.com/office/spreadsheetml/2010/11/main" uri="{DE250136-89BD-433C-8126-D09CA5730AF9}">
        <x15:connection id="CustomerInfo">
          <x15:rangePr sourceName="_xlcn.WorksheetConnection_CustomerOrders01.xlsxCustomerInfo1"/>
        </x15:connection>
      </ext>
    </extLst>
  </connection>
  <connection id="4" name="WorksheetConnection_CustomerOrders-01.xlsx!OrderInfo" type="102" refreshedVersion="6" minRefreshableVersion="5">
    <extLst>
      <ext xmlns:x15="http://schemas.microsoft.com/office/spreadsheetml/2010/11/main" uri="{DE250136-89BD-433C-8126-D09CA5730AF9}">
        <x15:connection id="OrderInfo">
          <x15:rangePr sourceName="_xlcn.WorksheetConnection_CustomerOrders01.xlsxOrderInfo1"/>
        </x15:connection>
      </ext>
    </extLst>
  </connection>
</connections>
</file>

<file path=xl/sharedStrings.xml><?xml version="1.0" encoding="utf-8"?>
<sst xmlns="http://schemas.openxmlformats.org/spreadsheetml/2006/main" count="11471" uniqueCount="704">
  <si>
    <t>Wolski Zajazd</t>
  </si>
  <si>
    <t>Wilman Kala</t>
  </si>
  <si>
    <t>Vins et alcools Chevalier</t>
  </si>
  <si>
    <t>White Clover Markets</t>
  </si>
  <si>
    <t>Wellington Importadora</t>
  </si>
  <si>
    <t>Wartian Herkku</t>
  </si>
  <si>
    <t>Die Wandernde Kuh</t>
  </si>
  <si>
    <t>Victuailles en stock</t>
  </si>
  <si>
    <t>Vaffeljernet</t>
  </si>
  <si>
    <t>Trail's Head Gourmet Provisioners</t>
  </si>
  <si>
    <t>Tradição Hipermercados</t>
  </si>
  <si>
    <t>Toms Spezialitäten</t>
  </si>
  <si>
    <t>Tortuga Restaurante</t>
  </si>
  <si>
    <t>The Cracker Box</t>
  </si>
  <si>
    <t>The Big Cheese</t>
  </si>
  <si>
    <t>Suprêmes délices</t>
  </si>
  <si>
    <t>Split Rail Beer &amp; Ale</t>
  </si>
  <si>
    <t>Spécialités du monde</t>
  </si>
  <si>
    <t>Simons bistro</t>
  </si>
  <si>
    <t>Seven Seas Imports</t>
  </si>
  <si>
    <t>Save-a-lot Markets</t>
  </si>
  <si>
    <t>Santé Gourmet</t>
  </si>
  <si>
    <t>Romero y tomillo</t>
  </si>
  <si>
    <t>Richter Supermarkt</t>
  </si>
  <si>
    <t>Ricardo Adocicados</t>
  </si>
  <si>
    <t>Reggiani Caseifici</t>
  </si>
  <si>
    <t>Rattlesnake Canyon Grocery</t>
  </si>
  <si>
    <t>Rancho grande</t>
  </si>
  <si>
    <t>QUICK-Stop</t>
  </si>
  <si>
    <t>Queen Cozinha</t>
  </si>
  <si>
    <t>Que Delícia</t>
  </si>
  <si>
    <t>Princesa Isabel Vinhos</t>
  </si>
  <si>
    <t>Old World Delicatessen</t>
  </si>
  <si>
    <t>Piccolo und mehr</t>
  </si>
  <si>
    <t>Pericles Comidas clásicas</t>
  </si>
  <si>
    <t>Ottilies Käseladen</t>
  </si>
  <si>
    <t>Océano Atlántico Ltda.</t>
  </si>
  <si>
    <t>North/South</t>
  </si>
  <si>
    <t>Morgenstern Gesundkost</t>
  </si>
  <si>
    <t>Mère Paillarde</t>
  </si>
  <si>
    <t>Maison Dewey</t>
  </si>
  <si>
    <t>Magazzini Alimentari Riuniti</t>
  </si>
  <si>
    <t>Lonesome Pine Restaurant</t>
  </si>
  <si>
    <t>LINO-Delicateses</t>
  </si>
  <si>
    <t>LILA-Supermercado</t>
  </si>
  <si>
    <t>Let's Stop N Shop</t>
  </si>
  <si>
    <t>Lehmanns Marktstand</t>
  </si>
  <si>
    <t>Lazy K Kountry Store</t>
  </si>
  <si>
    <t>Laughing Bacchus Wine Cellars</t>
  </si>
  <si>
    <t>La maison d'Asie</t>
  </si>
  <si>
    <t>La corne d'abondance</t>
  </si>
  <si>
    <t>Königlich Essen</t>
  </si>
  <si>
    <t>Island Trading</t>
  </si>
  <si>
    <t>Hungry Owl All-Night Grocers</t>
  </si>
  <si>
    <t>Hungry Coyote Import Store</t>
  </si>
  <si>
    <t>HILARIÓN-Abastos</t>
  </si>
  <si>
    <t>Hanari Carnes</t>
  </si>
  <si>
    <t>GROSELLA-Restaurante</t>
  </si>
  <si>
    <t>Great Lakes Food Market</t>
  </si>
  <si>
    <t>Gourmet Lanchonetes</t>
  </si>
  <si>
    <t>Godos Cocina Típica</t>
  </si>
  <si>
    <t>Furia Bacalhau e Frutos do Mar</t>
  </si>
  <si>
    <t>Franchi S.p.A.</t>
  </si>
  <si>
    <t>France restauration</t>
  </si>
  <si>
    <t>Frankenversand</t>
  </si>
  <si>
    <t>Folk och fä HB</t>
  </si>
  <si>
    <t>Folies gourmandes</t>
  </si>
  <si>
    <t>Familia Arquibaldo</t>
  </si>
  <si>
    <t>Ernst Handel</t>
  </si>
  <si>
    <t>Eastern Connection</t>
  </si>
  <si>
    <t>Du monde entier</t>
  </si>
  <si>
    <t>Drachenblut Delikatessen</t>
  </si>
  <si>
    <t>Consolidated Holdings</t>
  </si>
  <si>
    <t>Comércio Mineiro</t>
  </si>
  <si>
    <t>Chop-suey Chinese</t>
  </si>
  <si>
    <t>Centro comercial Moctezuma</t>
  </si>
  <si>
    <t>Cactus Comidas para llevar</t>
  </si>
  <si>
    <t>B's Beverages</t>
  </si>
  <si>
    <t>Bottom-Dollar Markets</t>
  </si>
  <si>
    <t>Bon app'</t>
  </si>
  <si>
    <t>Bólido Comidas preparadas</t>
  </si>
  <si>
    <t>Blondel père et fils</t>
  </si>
  <si>
    <t>Blauer See Delikatessen</t>
  </si>
  <si>
    <t>Berglunds snabbköp</t>
  </si>
  <si>
    <t>Around the Horn</t>
  </si>
  <si>
    <t>Antonio Moreno Taquería</t>
  </si>
  <si>
    <t>Ana Trujillo Emparedados y helados</t>
  </si>
  <si>
    <t>Alfreds Futterkiste</t>
  </si>
  <si>
    <t>Galería del gastrónomo</t>
  </si>
  <si>
    <t>ALFKI</t>
  </si>
  <si>
    <t>Sales Representative</t>
  </si>
  <si>
    <t>Obere Str. 57</t>
  </si>
  <si>
    <t>Berlin</t>
  </si>
  <si>
    <t>12209</t>
  </si>
  <si>
    <t>Germany</t>
  </si>
  <si>
    <t>030-0074321</t>
  </si>
  <si>
    <t>ANATR</t>
  </si>
  <si>
    <t>Ana Trujillo</t>
  </si>
  <si>
    <t>Owner</t>
  </si>
  <si>
    <t>Avda. de la Constitución 2222</t>
  </si>
  <si>
    <t>México D.F.</t>
  </si>
  <si>
    <t>05021</t>
  </si>
  <si>
    <t>Mexico</t>
  </si>
  <si>
    <t>(5) 555-4729</t>
  </si>
  <si>
    <t>ANTON</t>
  </si>
  <si>
    <t>Antonio Moreno</t>
  </si>
  <si>
    <t>Mataderos  2312</t>
  </si>
  <si>
    <t>05023</t>
  </si>
  <si>
    <t>(5) 555-3932</t>
  </si>
  <si>
    <t>AROUT</t>
  </si>
  <si>
    <t>120 Hanover Sq.</t>
  </si>
  <si>
    <t>London</t>
  </si>
  <si>
    <t>WA1 1DP</t>
  </si>
  <si>
    <t>UK</t>
  </si>
  <si>
    <t>(171) 555-7788</t>
  </si>
  <si>
    <t>BERGS</t>
  </si>
  <si>
    <t>Christina Berglund</t>
  </si>
  <si>
    <t>Order Administrator</t>
  </si>
  <si>
    <t>Berguvsvägen  8</t>
  </si>
  <si>
    <t>Luleå</t>
  </si>
  <si>
    <t>S-958 22</t>
  </si>
  <si>
    <t>Sweden</t>
  </si>
  <si>
    <t>0921-12 34 65</t>
  </si>
  <si>
    <t>BLAUS</t>
  </si>
  <si>
    <t>Forsterstr. 57</t>
  </si>
  <si>
    <t>Mannheim</t>
  </si>
  <si>
    <t>68306</t>
  </si>
  <si>
    <t>0621-08460</t>
  </si>
  <si>
    <t>BLONP</t>
  </si>
  <si>
    <t>Frédérique Citeaux</t>
  </si>
  <si>
    <t>Marketing Manager</t>
  </si>
  <si>
    <t>24, place Kléber</t>
  </si>
  <si>
    <t>Strasbourg</t>
  </si>
  <si>
    <t>67000</t>
  </si>
  <si>
    <t>France</t>
  </si>
  <si>
    <t>88.60.15.31</t>
  </si>
  <si>
    <t>BOLID</t>
  </si>
  <si>
    <t>Martín Sommer</t>
  </si>
  <si>
    <t>C/ Araquil, 67</t>
  </si>
  <si>
    <t>Madrid</t>
  </si>
  <si>
    <t>28023</t>
  </si>
  <si>
    <t>Spain</t>
  </si>
  <si>
    <t>(91) 555 22 82</t>
  </si>
  <si>
    <t>BONAP</t>
  </si>
  <si>
    <t>Laurence Lebihan</t>
  </si>
  <si>
    <t>12, rue des Bouchers</t>
  </si>
  <si>
    <t>Marseille</t>
  </si>
  <si>
    <t>13008</t>
  </si>
  <si>
    <t>91.24.45.40</t>
  </si>
  <si>
    <t>BOTTM</t>
  </si>
  <si>
    <t>Elizabeth Lincoln</t>
  </si>
  <si>
    <t>Accounting Manager</t>
  </si>
  <si>
    <t>23 Tsawassen Blvd.</t>
  </si>
  <si>
    <t>Tsawassen</t>
  </si>
  <si>
    <t>BC</t>
  </si>
  <si>
    <t>T2F 8M4</t>
  </si>
  <si>
    <t>Canada</t>
  </si>
  <si>
    <t>(604) 555-4729</t>
  </si>
  <si>
    <t>BSBEV</t>
  </si>
  <si>
    <t>Victoria Ashworth</t>
  </si>
  <si>
    <t>Fauntleroy Circus</t>
  </si>
  <si>
    <t>EC2 5NT</t>
  </si>
  <si>
    <t>(171) 555-1212</t>
  </si>
  <si>
    <t>CACTU</t>
  </si>
  <si>
    <t>Patricio Simpson</t>
  </si>
  <si>
    <t>Sales Agent</t>
  </si>
  <si>
    <t>Cerrito 333</t>
  </si>
  <si>
    <t>Buenos Aires</t>
  </si>
  <si>
    <t>1010</t>
  </si>
  <si>
    <t>Argentina</t>
  </si>
  <si>
    <t>(1) 135-5555</t>
  </si>
  <si>
    <t>CENTC</t>
  </si>
  <si>
    <t>Francisco Chang</t>
  </si>
  <si>
    <t>Sierras de Granada 9993</t>
  </si>
  <si>
    <t>05022</t>
  </si>
  <si>
    <t>(5) 555-3392</t>
  </si>
  <si>
    <t>CHOPS</t>
  </si>
  <si>
    <t>Hauptstr. 29</t>
  </si>
  <si>
    <t>Bern</t>
  </si>
  <si>
    <t>3012</t>
  </si>
  <si>
    <t>Switzerland</t>
  </si>
  <si>
    <t>0452-076545</t>
  </si>
  <si>
    <t>COMMI</t>
  </si>
  <si>
    <t>Pedro Afonso</t>
  </si>
  <si>
    <t>Sales Associate</t>
  </si>
  <si>
    <t>Av. dos Lusíadas, 23</t>
  </si>
  <si>
    <t>São Paulo</t>
  </si>
  <si>
    <t>SP</t>
  </si>
  <si>
    <t>05432-043</t>
  </si>
  <si>
    <t>Brazil</t>
  </si>
  <si>
    <t>(11) 555-7647</t>
  </si>
  <si>
    <t>CONSH</t>
  </si>
  <si>
    <t>Elizabeth Brown</t>
  </si>
  <si>
    <t xml:space="preserve">Berkeley Gardens_x000D_
12  Brewery </t>
  </si>
  <si>
    <t>WX1 6LT</t>
  </si>
  <si>
    <t>(171) 555-2282</t>
  </si>
  <si>
    <t>DRACD</t>
  </si>
  <si>
    <t>Sven Ottlieb</t>
  </si>
  <si>
    <t>Walserweg 21</t>
  </si>
  <si>
    <t>Aachen</t>
  </si>
  <si>
    <t>52066</t>
  </si>
  <si>
    <t>0241-039123</t>
  </si>
  <si>
    <t>DUMON</t>
  </si>
  <si>
    <t>Janine Labrune</t>
  </si>
  <si>
    <t>67, rue des Cinquante Otages</t>
  </si>
  <si>
    <t>Nantes</t>
  </si>
  <si>
    <t>44000</t>
  </si>
  <si>
    <t>40.67.88.88</t>
  </si>
  <si>
    <t>EASTC</t>
  </si>
  <si>
    <t>35 King George</t>
  </si>
  <si>
    <t>WX3 6FW</t>
  </si>
  <si>
    <t>(171) 555-0297</t>
  </si>
  <si>
    <t>ERNSH</t>
  </si>
  <si>
    <t>Roland Mendel</t>
  </si>
  <si>
    <t>Sales Manager</t>
  </si>
  <si>
    <t>Kirchgasse 6</t>
  </si>
  <si>
    <t>Graz</t>
  </si>
  <si>
    <t>8010</t>
  </si>
  <si>
    <t>Austria</t>
  </si>
  <si>
    <t>7675-3425</t>
  </si>
  <si>
    <t>FAMIA</t>
  </si>
  <si>
    <t>Marketing Assistant</t>
  </si>
  <si>
    <t>Rua Orós, 92</t>
  </si>
  <si>
    <t>05442-030</t>
  </si>
  <si>
    <t>(11) 555-9857</t>
  </si>
  <si>
    <t>FISSA Fabrica Inter. Salchichas S.A.</t>
  </si>
  <si>
    <t>Diego Roel</t>
  </si>
  <si>
    <t>C/ Moralzarzal, 86</t>
  </si>
  <si>
    <t>28034</t>
  </si>
  <si>
    <t>(91) 555 94 44</t>
  </si>
  <si>
    <t>FOLIG</t>
  </si>
  <si>
    <t>Martine Rancé</t>
  </si>
  <si>
    <t>Assistant Sales Agent</t>
  </si>
  <si>
    <t>184, chaussée de Tournai</t>
  </si>
  <si>
    <t>Lille</t>
  </si>
  <si>
    <t>59000</t>
  </si>
  <si>
    <t>20.16.10.16</t>
  </si>
  <si>
    <t>FOLKO</t>
  </si>
  <si>
    <t>Maria Larsson</t>
  </si>
  <si>
    <t>Åkergatan 24</t>
  </si>
  <si>
    <t>Bräcke</t>
  </si>
  <si>
    <t>S-844 67</t>
  </si>
  <si>
    <t>0695-34 67 21</t>
  </si>
  <si>
    <t>FRANK</t>
  </si>
  <si>
    <t>Peter Franken</t>
  </si>
  <si>
    <t>Berliner Platz 43</t>
  </si>
  <si>
    <t>München</t>
  </si>
  <si>
    <t>80805</t>
  </si>
  <si>
    <t>089-0877310</t>
  </si>
  <si>
    <t>FRANR</t>
  </si>
  <si>
    <t>Carine Schmitt</t>
  </si>
  <si>
    <t>54, rue Royale</t>
  </si>
  <si>
    <t>40.32.21.21</t>
  </si>
  <si>
    <t>FRANS</t>
  </si>
  <si>
    <t>Paolo Accorti</t>
  </si>
  <si>
    <t>Via Monte Bianco 34</t>
  </si>
  <si>
    <t>Torino</t>
  </si>
  <si>
    <t>10100</t>
  </si>
  <si>
    <t>Italy</t>
  </si>
  <si>
    <t>011-4988260</t>
  </si>
  <si>
    <t>FURIB</t>
  </si>
  <si>
    <t xml:space="preserve">Lino Rodriguez </t>
  </si>
  <si>
    <t>Jardim das rosas n. 32</t>
  </si>
  <si>
    <t>Lisboa</t>
  </si>
  <si>
    <t>1675</t>
  </si>
  <si>
    <t>Portugal</t>
  </si>
  <si>
    <t>(1) 354-2534</t>
  </si>
  <si>
    <t>GALED</t>
  </si>
  <si>
    <t>Eduardo Saavedra</t>
  </si>
  <si>
    <t>Rambla de Cataluña, 23</t>
  </si>
  <si>
    <t>Barcelona</t>
  </si>
  <si>
    <t>08022</t>
  </si>
  <si>
    <t>(93) 203 4560</t>
  </si>
  <si>
    <t>GODOS</t>
  </si>
  <si>
    <t>José Pedro Freyre</t>
  </si>
  <si>
    <t>C/ Romero, 33</t>
  </si>
  <si>
    <t>Sevilla</t>
  </si>
  <si>
    <t>41101</t>
  </si>
  <si>
    <t>(95) 555 82 82</t>
  </si>
  <si>
    <t>GOURL</t>
  </si>
  <si>
    <t>André Fonseca</t>
  </si>
  <si>
    <t>Av. Brasil, 442</t>
  </si>
  <si>
    <t>Campinas</t>
  </si>
  <si>
    <t>04876-786</t>
  </si>
  <si>
    <t>(11) 555-9482</t>
  </si>
  <si>
    <t>GREAL</t>
  </si>
  <si>
    <t>2732 Baker Blvd.</t>
  </si>
  <si>
    <t>Eugene</t>
  </si>
  <si>
    <t>OR</t>
  </si>
  <si>
    <t>97403</t>
  </si>
  <si>
    <t>USA</t>
  </si>
  <si>
    <t>(503) 555-7555</t>
  </si>
  <si>
    <t>GROSR</t>
  </si>
  <si>
    <t>Manuel Pereira</t>
  </si>
  <si>
    <t>5ª Ave. Los Palos Grandes</t>
  </si>
  <si>
    <t>Caracas</t>
  </si>
  <si>
    <t>DF</t>
  </si>
  <si>
    <t>1081</t>
  </si>
  <si>
    <t>Venezuela</t>
  </si>
  <si>
    <t>(2) 283-2951</t>
  </si>
  <si>
    <t>HANAR</t>
  </si>
  <si>
    <t>Mario Pontes</t>
  </si>
  <si>
    <t>Rua do Paço, 67</t>
  </si>
  <si>
    <t>Rio de Janeiro</t>
  </si>
  <si>
    <t>RJ</t>
  </si>
  <si>
    <t>05454-876</t>
  </si>
  <si>
    <t>(21) 555-0091</t>
  </si>
  <si>
    <t>HILAA</t>
  </si>
  <si>
    <t>Carlos Hernández</t>
  </si>
  <si>
    <t>Carrera 22 con Ave. Carlos Soublette #8-35</t>
  </si>
  <si>
    <t>San Cristóbal</t>
  </si>
  <si>
    <t>Táchira</t>
  </si>
  <si>
    <t>5022</t>
  </si>
  <si>
    <t>(5) 555-1340</t>
  </si>
  <si>
    <t>HUNGC</t>
  </si>
  <si>
    <t>Yoshi Latimer</t>
  </si>
  <si>
    <t>City Center Plaza_x000D_
516 Main St.</t>
  </si>
  <si>
    <t>Elgin</t>
  </si>
  <si>
    <t>97827</t>
  </si>
  <si>
    <t>(503) 555-6874</t>
  </si>
  <si>
    <t>HUNGO</t>
  </si>
  <si>
    <t>8 Johnstown Road</t>
  </si>
  <si>
    <t>Cork</t>
  </si>
  <si>
    <t>Co. Cork</t>
  </si>
  <si>
    <t>Ireland</t>
  </si>
  <si>
    <t>2967 542</t>
  </si>
  <si>
    <t>ISLAT</t>
  </si>
  <si>
    <t>Helen Bennett</t>
  </si>
  <si>
    <t>Garden House_x000D_
Crowther Way</t>
  </si>
  <si>
    <t>Cowes</t>
  </si>
  <si>
    <t>Isle of Wight</t>
  </si>
  <si>
    <t>PO31 7PJ</t>
  </si>
  <si>
    <t>(198) 555-8888</t>
  </si>
  <si>
    <t>KOENE</t>
  </si>
  <si>
    <t>Maubelstr. 90</t>
  </si>
  <si>
    <t>Brandenburg</t>
  </si>
  <si>
    <t>14776</t>
  </si>
  <si>
    <t>0555-09876</t>
  </si>
  <si>
    <t>LACOR</t>
  </si>
  <si>
    <t>Daniel Tonini</t>
  </si>
  <si>
    <t>67, avenue de l'Europe</t>
  </si>
  <si>
    <t>Versailles</t>
  </si>
  <si>
    <t>78000</t>
  </si>
  <si>
    <t>30.59.84.10</t>
  </si>
  <si>
    <t>LAMAI</t>
  </si>
  <si>
    <t>Annette Roulet</t>
  </si>
  <si>
    <t>1 rue Alsace-Lorraine</t>
  </si>
  <si>
    <t>Toulouse</t>
  </si>
  <si>
    <t>31000</t>
  </si>
  <si>
    <t>61.77.61.10</t>
  </si>
  <si>
    <t>LAUGB</t>
  </si>
  <si>
    <t>Yoshi Tannamuri</t>
  </si>
  <si>
    <t>1900 Oak St.</t>
  </si>
  <si>
    <t>Vancouver</t>
  </si>
  <si>
    <t>V3F 2K1</t>
  </si>
  <si>
    <t>(604) 555-3392</t>
  </si>
  <si>
    <t>LAZYK</t>
  </si>
  <si>
    <t>12 Orchestra Terrace</t>
  </si>
  <si>
    <t>Walla Walla</t>
  </si>
  <si>
    <t>WA</t>
  </si>
  <si>
    <t>99362</t>
  </si>
  <si>
    <t>(509) 555-7969</t>
  </si>
  <si>
    <t>LEHMS</t>
  </si>
  <si>
    <t>Renate Messner</t>
  </si>
  <si>
    <t>Magazinweg 7</t>
  </si>
  <si>
    <t xml:space="preserve">Frankfurt a.M. </t>
  </si>
  <si>
    <t>60528</t>
  </si>
  <si>
    <t>069-0245984</t>
  </si>
  <si>
    <t>LETSS</t>
  </si>
  <si>
    <t>Jaime Yorres</t>
  </si>
  <si>
    <t>87 Polk St._x000D_
Suite 5</t>
  </si>
  <si>
    <t>San Francisco</t>
  </si>
  <si>
    <t>CA</t>
  </si>
  <si>
    <t>94117</t>
  </si>
  <si>
    <t>(415) 555-5938</t>
  </si>
  <si>
    <t>LILAS</t>
  </si>
  <si>
    <t>Carlos González</t>
  </si>
  <si>
    <t>Carrera 52 con Ave. Bolívar #65-98 Llano Largo</t>
  </si>
  <si>
    <t>Barquisimeto</t>
  </si>
  <si>
    <t>Lara</t>
  </si>
  <si>
    <t>3508</t>
  </si>
  <si>
    <t>(9) 331-6954</t>
  </si>
  <si>
    <t>LINOD</t>
  </si>
  <si>
    <t>Felipe Izquierdo</t>
  </si>
  <si>
    <t>Ave. 5 de Mayo Porlamar</t>
  </si>
  <si>
    <t>I. de Margarita</t>
  </si>
  <si>
    <t>Nueva Esparta</t>
  </si>
  <si>
    <t>4980</t>
  </si>
  <si>
    <t>(8) 34-56-12</t>
  </si>
  <si>
    <t>LONEP</t>
  </si>
  <si>
    <t>Fran Wilson</t>
  </si>
  <si>
    <t>89 Chiaroscuro Rd.</t>
  </si>
  <si>
    <t>Portland</t>
  </si>
  <si>
    <t>97219</t>
  </si>
  <si>
    <t>(503) 555-9573</t>
  </si>
  <si>
    <t>MAGAA</t>
  </si>
  <si>
    <t>Giovanni Rovelli</t>
  </si>
  <si>
    <t>Via Ludovico il Moro 22</t>
  </si>
  <si>
    <t>Bergamo</t>
  </si>
  <si>
    <t>24100</t>
  </si>
  <si>
    <t>035-640230</t>
  </si>
  <si>
    <t>MAISD</t>
  </si>
  <si>
    <t>Catherine Dewey</t>
  </si>
  <si>
    <t>Rue Joseph-Bens 532</t>
  </si>
  <si>
    <t>Bruxelles</t>
  </si>
  <si>
    <t>B-1180</t>
  </si>
  <si>
    <t>Belgium</t>
  </si>
  <si>
    <t>(02) 201 24 67</t>
  </si>
  <si>
    <t>MEREP</t>
  </si>
  <si>
    <t>Jean Fresnière</t>
  </si>
  <si>
    <t>43 rue St. Laurent</t>
  </si>
  <si>
    <t>Montréal</t>
  </si>
  <si>
    <t>Québec</t>
  </si>
  <si>
    <t>H1J 1C3</t>
  </si>
  <si>
    <t>(514) 555-8054</t>
  </si>
  <si>
    <t>MORGK</t>
  </si>
  <si>
    <t>Alexander Feuer</t>
  </si>
  <si>
    <t>Heerstr. 22</t>
  </si>
  <si>
    <t>Leipzig</t>
  </si>
  <si>
    <t>04179</t>
  </si>
  <si>
    <t>0342-023176</t>
  </si>
  <si>
    <t>NORTS</t>
  </si>
  <si>
    <t>Simon Crowther</t>
  </si>
  <si>
    <t>South House_x000D_
300 Queensbridge</t>
  </si>
  <si>
    <t>SW7 1RZ</t>
  </si>
  <si>
    <t>(171) 555-7733</t>
  </si>
  <si>
    <t>OCEAN</t>
  </si>
  <si>
    <t>Yvonne Moncada</t>
  </si>
  <si>
    <t>Ing. Gustavo Moncada 8585_x000D_
Piso 20-A</t>
  </si>
  <si>
    <t>(1) 135-5333</t>
  </si>
  <si>
    <t>OLDWO</t>
  </si>
  <si>
    <t>Rene Phillips</t>
  </si>
  <si>
    <t>2743 Bering St.</t>
  </si>
  <si>
    <t>Anchorage</t>
  </si>
  <si>
    <t>AK</t>
  </si>
  <si>
    <t>99508</t>
  </si>
  <si>
    <t>(907) 555-7584</t>
  </si>
  <si>
    <t>OTTIK</t>
  </si>
  <si>
    <t>Henriette Pfalzheim</t>
  </si>
  <si>
    <t>Mehrheimerstr. 369</t>
  </si>
  <si>
    <t>Köln</t>
  </si>
  <si>
    <t>50739</t>
  </si>
  <si>
    <t>0221-0644327</t>
  </si>
  <si>
    <t>PARIS</t>
  </si>
  <si>
    <t>Paris spécialités</t>
  </si>
  <si>
    <t>Marie Bertrand</t>
  </si>
  <si>
    <t>265, boulevard Charonne</t>
  </si>
  <si>
    <t>Paris</t>
  </si>
  <si>
    <t>75012</t>
  </si>
  <si>
    <t>(1) 42.34.22.66</t>
  </si>
  <si>
    <t>PERIC</t>
  </si>
  <si>
    <t>Guillermo Fernández</t>
  </si>
  <si>
    <t>Calle Dr. Jorge Cash 321</t>
  </si>
  <si>
    <t>05033</t>
  </si>
  <si>
    <t>(5) 552-3745</t>
  </si>
  <si>
    <t>PICCO</t>
  </si>
  <si>
    <t>Georg Pipps</t>
  </si>
  <si>
    <t>Geislweg 14</t>
  </si>
  <si>
    <t>Salzburg</t>
  </si>
  <si>
    <t>5020</t>
  </si>
  <si>
    <t>6562-9722</t>
  </si>
  <si>
    <t>PRINI</t>
  </si>
  <si>
    <t>Estrada da saúde n. 58</t>
  </si>
  <si>
    <t>1756</t>
  </si>
  <si>
    <t>(1) 356-5634</t>
  </si>
  <si>
    <t>QUEDE</t>
  </si>
  <si>
    <t>Bernardo Batista</t>
  </si>
  <si>
    <t>Rua da Panificadora, 12</t>
  </si>
  <si>
    <t>02389-673</t>
  </si>
  <si>
    <t>(21) 555-4252</t>
  </si>
  <si>
    <t>QUEEN</t>
  </si>
  <si>
    <t>Lúcia Carvalho</t>
  </si>
  <si>
    <t>Alameda dos Canàrios, 891</t>
  </si>
  <si>
    <t>05487-020</t>
  </si>
  <si>
    <t>(11) 555-1189</t>
  </si>
  <si>
    <t>QUICK</t>
  </si>
  <si>
    <t>Horst Kloss</t>
  </si>
  <si>
    <t>Taucherstraße 10</t>
  </si>
  <si>
    <t>Cunewalde</t>
  </si>
  <si>
    <t>01307</t>
  </si>
  <si>
    <t>0372-035188</t>
  </si>
  <si>
    <t>RANCH</t>
  </si>
  <si>
    <t>Sergio Gutiérrez</t>
  </si>
  <si>
    <t>Av. del Libertador 900</t>
  </si>
  <si>
    <t>(1) 123-5555</t>
  </si>
  <si>
    <t>RATTC</t>
  </si>
  <si>
    <t>Paula Wilson</t>
  </si>
  <si>
    <t>Assistant Sales Representative</t>
  </si>
  <si>
    <t>2817 Milton Dr.</t>
  </si>
  <si>
    <t>Albuquerque</t>
  </si>
  <si>
    <t>NM</t>
  </si>
  <si>
    <t>87110</t>
  </si>
  <si>
    <t>(505) 555-5939</t>
  </si>
  <si>
    <t>REGGC</t>
  </si>
  <si>
    <t>Maurizio Moroni</t>
  </si>
  <si>
    <t>Strada Provinciale 124</t>
  </si>
  <si>
    <t>Reggio Emilia</t>
  </si>
  <si>
    <t>42100</t>
  </si>
  <si>
    <t>0522-556721</t>
  </si>
  <si>
    <t>RICAR</t>
  </si>
  <si>
    <t>Janete Limeira</t>
  </si>
  <si>
    <t>Av. Copacabana, 267</t>
  </si>
  <si>
    <t>02389-890</t>
  </si>
  <si>
    <t>(21) 555-3412</t>
  </si>
  <si>
    <t>RICSU</t>
  </si>
  <si>
    <t>Michael Holz</t>
  </si>
  <si>
    <t>Grenzacherweg 237</t>
  </si>
  <si>
    <t>Genève</t>
  </si>
  <si>
    <t>1203</t>
  </si>
  <si>
    <t>0897-034214</t>
  </si>
  <si>
    <t>ROMEY</t>
  </si>
  <si>
    <t>Alejandra Camino</t>
  </si>
  <si>
    <t>Gran Vía, 1</t>
  </si>
  <si>
    <t>28001</t>
  </si>
  <si>
    <t>(91) 745 6200</t>
  </si>
  <si>
    <t>SANTG</t>
  </si>
  <si>
    <t>Jonas Bergulfsen</t>
  </si>
  <si>
    <t>Erling Skakkes gate 78</t>
  </si>
  <si>
    <t>Stavern</t>
  </si>
  <si>
    <t>4110</t>
  </si>
  <si>
    <t>Norway</t>
  </si>
  <si>
    <t>07-98 92 35</t>
  </si>
  <si>
    <t>SAVEA</t>
  </si>
  <si>
    <t>Jose Pavarotti</t>
  </si>
  <si>
    <t>187 Suffolk Ln.</t>
  </si>
  <si>
    <t>Boise</t>
  </si>
  <si>
    <t>ID</t>
  </si>
  <si>
    <t>83720</t>
  </si>
  <si>
    <t>(208) 555-8097</t>
  </si>
  <si>
    <t>SEVES</t>
  </si>
  <si>
    <t>Hari Kumar</t>
  </si>
  <si>
    <t>90 Wadhurst Rd.</t>
  </si>
  <si>
    <t>OX15 4NB</t>
  </si>
  <si>
    <t>(171) 555-1717</t>
  </si>
  <si>
    <t>SIMOB</t>
  </si>
  <si>
    <t>Jytte Petersen</t>
  </si>
  <si>
    <t>Vinbæltet 34</t>
  </si>
  <si>
    <t>København</t>
  </si>
  <si>
    <t>1734</t>
  </si>
  <si>
    <t>Denmark</t>
  </si>
  <si>
    <t>31 12 34 56</t>
  </si>
  <si>
    <t>SPECD</t>
  </si>
  <si>
    <t>Dominique Perrier</t>
  </si>
  <si>
    <t>25, rue Lauriston</t>
  </si>
  <si>
    <t>75016</t>
  </si>
  <si>
    <t>(1) 47.55.60.10</t>
  </si>
  <si>
    <t>SPLIR</t>
  </si>
  <si>
    <t>Art Braunschweiger</t>
  </si>
  <si>
    <t>P.O. Box 555</t>
  </si>
  <si>
    <t>Lander</t>
  </si>
  <si>
    <t>WY</t>
  </si>
  <si>
    <t>82520</t>
  </si>
  <si>
    <t>(307) 555-4680</t>
  </si>
  <si>
    <t>SUPRD</t>
  </si>
  <si>
    <t>Pascale Cartrain</t>
  </si>
  <si>
    <t>Boulevard Tirou, 255</t>
  </si>
  <si>
    <t>Charleroi</t>
  </si>
  <si>
    <t>B-6000</t>
  </si>
  <si>
    <t>(071) 23 67 22 20</t>
  </si>
  <si>
    <t>THEBI</t>
  </si>
  <si>
    <t>Liz Nixon</t>
  </si>
  <si>
    <t>89 Jefferson Way_x000D_
Suite 2</t>
  </si>
  <si>
    <t>97201</t>
  </si>
  <si>
    <t>(503) 555-3612</t>
  </si>
  <si>
    <t>THECR</t>
  </si>
  <si>
    <t>Liu Wong</t>
  </si>
  <si>
    <t>55 Grizzly Peak Rd.</t>
  </si>
  <si>
    <t>Butte</t>
  </si>
  <si>
    <t>MT</t>
  </si>
  <si>
    <t>59801</t>
  </si>
  <si>
    <t>(406) 555-5834</t>
  </si>
  <si>
    <t>TOMSP</t>
  </si>
  <si>
    <t>Karin Josephs</t>
  </si>
  <si>
    <t>Luisenstr. 48</t>
  </si>
  <si>
    <t>Münster</t>
  </si>
  <si>
    <t>44087</t>
  </si>
  <si>
    <t>0251-031259</t>
  </si>
  <si>
    <t>TORTU</t>
  </si>
  <si>
    <t>Miguel Angel Paolino</t>
  </si>
  <si>
    <t>Avda. Azteca 123</t>
  </si>
  <si>
    <t>(5) 555-2933</t>
  </si>
  <si>
    <t>TRADH</t>
  </si>
  <si>
    <t>Anabela Domingues</t>
  </si>
  <si>
    <t>Av. Inês de Castro, 414</t>
  </si>
  <si>
    <t>05634-030</t>
  </si>
  <si>
    <t>(11) 555-2167</t>
  </si>
  <si>
    <t>TRAIH</t>
  </si>
  <si>
    <t>Helvetius Nagy</t>
  </si>
  <si>
    <t>722 DaVinci Blvd.</t>
  </si>
  <si>
    <t>Kirkland</t>
  </si>
  <si>
    <t>98034</t>
  </si>
  <si>
    <t>(206) 555-8257</t>
  </si>
  <si>
    <t>VAFFE</t>
  </si>
  <si>
    <t>Palle Ibsen</t>
  </si>
  <si>
    <t>Smagsløget 45</t>
  </si>
  <si>
    <t>Århus</t>
  </si>
  <si>
    <t>8200</t>
  </si>
  <si>
    <t>86 21 32 43</t>
  </si>
  <si>
    <t>VICTE</t>
  </si>
  <si>
    <t>Mary Saveley</t>
  </si>
  <si>
    <t>2, rue du Commerce</t>
  </si>
  <si>
    <t>Lyon</t>
  </si>
  <si>
    <t>69004</t>
  </si>
  <si>
    <t>78.32.54.86</t>
  </si>
  <si>
    <t>VINET</t>
  </si>
  <si>
    <t>Paul Henriot</t>
  </si>
  <si>
    <t>59 rue de l'Abbaye</t>
  </si>
  <si>
    <t>Reims</t>
  </si>
  <si>
    <t>51100</t>
  </si>
  <si>
    <t>26.47.15.10</t>
  </si>
  <si>
    <t>WANDK</t>
  </si>
  <si>
    <t>Rita Müller</t>
  </si>
  <si>
    <t>Adenauerallee 900</t>
  </si>
  <si>
    <t>Stuttgart</t>
  </si>
  <si>
    <t>70563</t>
  </si>
  <si>
    <t>0711-020361</t>
  </si>
  <si>
    <t>WARTH</t>
  </si>
  <si>
    <t>Pirkko Koskitalo</t>
  </si>
  <si>
    <t>Torikatu 38</t>
  </si>
  <si>
    <t>Oulu</t>
  </si>
  <si>
    <t>90110</t>
  </si>
  <si>
    <t>Finland</t>
  </si>
  <si>
    <t>981-443655</t>
  </si>
  <si>
    <t>WELLI</t>
  </si>
  <si>
    <t>Paula Parente</t>
  </si>
  <si>
    <t>Rua do Mercado, 12</t>
  </si>
  <si>
    <t>Resende</t>
  </si>
  <si>
    <t>08737-363</t>
  </si>
  <si>
    <t>(14) 555-8122</t>
  </si>
  <si>
    <t>WHITC</t>
  </si>
  <si>
    <t>Karl Jablonski</t>
  </si>
  <si>
    <t>305 - 14th Ave. S._x000D_
Suite 3B</t>
  </si>
  <si>
    <t>Seattle</t>
  </si>
  <si>
    <t>98128</t>
  </si>
  <si>
    <t>(206) 555-4112</t>
  </si>
  <si>
    <t>WILMK</t>
  </si>
  <si>
    <t>Matti Karttunen</t>
  </si>
  <si>
    <t>Owner/Marketing Assistant</t>
  </si>
  <si>
    <t>Keskuskatu 45</t>
  </si>
  <si>
    <t>Helsinki</t>
  </si>
  <si>
    <t>21240</t>
  </si>
  <si>
    <t>90-224 8858</t>
  </si>
  <si>
    <t>WOLZA</t>
  </si>
  <si>
    <t>Zbyszek Piestrzeniewicz</t>
  </si>
  <si>
    <t>ul. Filtrowa 68</t>
  </si>
  <si>
    <t>Warszawa</t>
  </si>
  <si>
    <t>01-012</t>
  </si>
  <si>
    <t>Poland</t>
  </si>
  <si>
    <t>(26) 642-7012</t>
  </si>
  <si>
    <t>Address</t>
  </si>
  <si>
    <t>City</t>
  </si>
  <si>
    <t>Region</t>
  </si>
  <si>
    <t>Country</t>
  </si>
  <si>
    <t>Phone</t>
  </si>
  <si>
    <t>Company Name</t>
  </si>
  <si>
    <t>Customer ID</t>
  </si>
  <si>
    <t>Contact Name</t>
  </si>
  <si>
    <t>Contact Title</t>
  </si>
  <si>
    <t>Postal Code</t>
  </si>
  <si>
    <t>Brook Farm_x000D_
Stratford St. Mary</t>
  </si>
  <si>
    <t>Colchester</t>
  </si>
  <si>
    <t>Essex</t>
  </si>
  <si>
    <t>CO7 6JX</t>
  </si>
  <si>
    <t>Hauptstr. 31</t>
  </si>
  <si>
    <t>Galería del gastronómo</t>
  </si>
  <si>
    <t>8022</t>
  </si>
  <si>
    <t>2319 Elm St.</t>
  </si>
  <si>
    <t>Starenweg 5</t>
  </si>
  <si>
    <t>1204</t>
  </si>
  <si>
    <t>1029 - 12th Ave. S.</t>
  </si>
  <si>
    <t>98124</t>
  </si>
  <si>
    <t>ShippedDate</t>
  </si>
  <si>
    <t>ShipVia</t>
  </si>
  <si>
    <t>ShipName</t>
  </si>
  <si>
    <t>ShipAddress</t>
  </si>
  <si>
    <t>ShipCity</t>
  </si>
  <si>
    <t>ShipRegion</t>
  </si>
  <si>
    <t>ShipPostalCode</t>
  </si>
  <si>
    <t>ShipCountry</t>
  </si>
  <si>
    <t>OrderID</t>
  </si>
  <si>
    <t>CustomerID</t>
  </si>
  <si>
    <t>OrderDate</t>
  </si>
  <si>
    <t>RequiredDate</t>
  </si>
  <si>
    <t>OrderAmount</t>
  </si>
  <si>
    <t>FISSA</t>
  </si>
  <si>
    <t>Maria Anders</t>
  </si>
  <si>
    <t>Thomas Hardy</t>
  </si>
  <si>
    <t>Hanna Moss</t>
  </si>
  <si>
    <t>Yang Wang</t>
  </si>
  <si>
    <t>Ann Devon</t>
  </si>
  <si>
    <t>Aria Cruz</t>
  </si>
  <si>
    <t>Howard Synder</t>
  </si>
  <si>
    <t>Patricia Mckenna</t>
  </si>
  <si>
    <t>Philip Cramer</t>
  </si>
  <si>
    <t>John Steel</t>
  </si>
  <si>
    <t>Isabel De Castro</t>
  </si>
  <si>
    <t>OrderMonth</t>
  </si>
  <si>
    <t>OrderYear</t>
  </si>
  <si>
    <t>Company name</t>
  </si>
  <si>
    <t>ShipVia2</t>
  </si>
  <si>
    <t>Coluna1</t>
  </si>
  <si>
    <t xml:space="preserve">                                        Order History</t>
  </si>
  <si>
    <t>Número de pedidos</t>
  </si>
  <si>
    <t>Média do valor dos pedidos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</si>
</sst>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&quot;$&quot;* #,##0.00_);_(&quot;$&quot;* \(#,##0.00\);_(&quot;$&quot;* &quot;-&quot;??_);_(@_)"/>
    <numFmt numFmtId="165" formatCode="&quot;R$&quot;\ #,##0.0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u/>
      <sz val="11"/>
      <color theme="1"/>
      <name val="Arial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DAD1C4"/>
        <bgColor indexed="64"/>
      </patternFill>
    </fill>
    <fill>
      <patternFill patternType="solid">
        <fgColor rgb="FFE4BAB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31">
    <xf numFmtId="0" fontId="0" fillId="0" borderId="0" xfId="0"/>
    <xf numFmtId="14" fontId="0" fillId="0" borderId="0" xfId="0" applyNumberFormat="1"/>
    <xf numFmtId="0" fontId="2" fillId="0" borderId="0" xfId="0" applyFont="1"/>
    <xf numFmtId="0" fontId="3" fillId="0" borderId="0" xfId="0" applyFont="1"/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3" fillId="0" borderId="0" xfId="0" applyNumberFormat="1" applyFont="1"/>
    <xf numFmtId="165" fontId="3" fillId="0" borderId="0" xfId="0" applyNumberFormat="1" applyFont="1"/>
    <xf numFmtId="165" fontId="0" fillId="0" borderId="0" xfId="0" applyNumberFormat="1"/>
    <xf numFmtId="0" fontId="3" fillId="11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5" fontId="3" fillId="12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left"/>
    </xf>
    <xf numFmtId="0" fontId="5" fillId="4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</cellXfs>
  <cellStyles count="3">
    <cellStyle name="Currency 2" xfId="2"/>
    <cellStyle name="Normal" xfId="0" builtinId="0"/>
    <cellStyle name="Normal 2" xfId="1"/>
  </cellStyles>
  <dxfs count="6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</dxfs>
  <tableStyles count="0" defaultTableStyle="TableStyleMedium2" defaultPivotStyle="PivotStyleLight16"/>
  <colors>
    <mruColors>
      <color rgb="FFE4BABA"/>
      <color rgb="FFDAD1C4"/>
      <color rgb="FFFFFFFF"/>
      <color rgb="FFC4E3A7"/>
      <color rgb="FFDDDDDD"/>
      <color rgb="FFCCECFF"/>
      <color rgb="FF99FFCC"/>
      <color rgb="FFFFCC99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powerPivotData" Target="model/item.data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ustomer%20Dashboar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 Dashboard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2" name="Tabela2" displayName="Tabela2" ref="A1:J92" totalsRowShown="0">
  <autoFilter ref="A1:J92"/>
  <sortState ref="A2:J92">
    <sortCondition ref="A1:A92"/>
  </sortState>
  <tableColumns count="10">
    <tableColumn id="1" name="Company Name"/>
    <tableColumn id="2" name="Customer ID"/>
    <tableColumn id="3" name="Contact Name"/>
    <tableColumn id="4" name="Contact Title"/>
    <tableColumn id="5" name="Address"/>
    <tableColumn id="6" name="City"/>
    <tableColumn id="7" name="Region"/>
    <tableColumn id="8" name="Postal Code"/>
    <tableColumn id="9" name="Country"/>
    <tableColumn id="10" name="Phon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B12:Q842" totalsRowShown="0" headerRowDxfId="5">
  <tableColumns count="16">
    <tableColumn id="1" name="OrderID"/>
    <tableColumn id="2" name="CustomerID"/>
    <tableColumn id="3" name="OrderDate" dataDxfId="4"/>
    <tableColumn id="4" name="OrderMonth" dataDxfId="3">
      <calculatedColumnFormula>TEXT(D13,"mmm")</calculatedColumnFormula>
    </tableColumn>
    <tableColumn id="5" name="OrderYear" dataDxfId="2">
      <calculatedColumnFormula>TEXT(D13,"aaa")</calculatedColumnFormula>
    </tableColumn>
    <tableColumn id="6" name="RequiredDate" dataDxfId="1"/>
    <tableColumn id="7" name="Coluna1" dataDxfId="0"/>
    <tableColumn id="8" name="ShipVia"/>
    <tableColumn id="9" name="ShipVia2">
      <calculatedColumnFormula>CHOOSE(I13,"UPS","USPS","DHL")</calculatedColumnFormula>
    </tableColumn>
    <tableColumn id="10" name="OrderAmount"/>
    <tableColumn id="11" name="Company name"/>
    <tableColumn id="12" name="ShipAddress"/>
    <tableColumn id="13" name="ShipCity"/>
    <tableColumn id="14" name="ShipRegion"/>
    <tableColumn id="15" name="ShipPostalCode"/>
    <tableColumn id="16" name="ShipCountry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92"/>
  <sheetViews>
    <sheetView workbookViewId="0">
      <selection activeCell="B3" sqref="B3"/>
    </sheetView>
  </sheetViews>
  <sheetFormatPr defaultRowHeight="15" x14ac:dyDescent="0.25"/>
  <cols>
    <col min="1" max="1" width="33.140625" bestFit="1" customWidth="1"/>
    <col min="2" max="2" width="14" customWidth="1"/>
    <col min="3" max="3" width="22.7109375" bestFit="1" customWidth="1"/>
    <col min="4" max="4" width="28.5703125" bestFit="1" customWidth="1"/>
    <col min="5" max="5" width="41.7109375" bestFit="1" customWidth="1"/>
    <col min="6" max="6" width="14" bestFit="1" customWidth="1"/>
    <col min="7" max="7" width="13.7109375" bestFit="1" customWidth="1"/>
    <col min="8" max="8" width="13.5703125" customWidth="1"/>
    <col min="9" max="9" width="11.42578125" bestFit="1" customWidth="1"/>
    <col min="10" max="10" width="15.28515625" bestFit="1" customWidth="1"/>
  </cols>
  <sheetData>
    <row r="1" spans="1:10" x14ac:dyDescent="0.25">
      <c r="A1" t="s">
        <v>654</v>
      </c>
      <c r="B1" t="s">
        <v>655</v>
      </c>
      <c r="C1" t="s">
        <v>656</v>
      </c>
      <c r="D1" t="s">
        <v>657</v>
      </c>
      <c r="E1" t="s">
        <v>649</v>
      </c>
      <c r="F1" t="s">
        <v>650</v>
      </c>
      <c r="G1" t="s">
        <v>651</v>
      </c>
      <c r="H1" t="s">
        <v>658</v>
      </c>
      <c r="I1" t="s">
        <v>652</v>
      </c>
      <c r="J1" t="s">
        <v>653</v>
      </c>
    </row>
    <row r="2" spans="1:10" x14ac:dyDescent="0.25">
      <c r="A2" t="s">
        <v>87</v>
      </c>
      <c r="B2" t="s">
        <v>89</v>
      </c>
      <c r="C2" t="s">
        <v>685</v>
      </c>
      <c r="D2" t="s">
        <v>90</v>
      </c>
      <c r="E2" t="s">
        <v>91</v>
      </c>
      <c r="F2" t="s">
        <v>92</v>
      </c>
      <c r="H2" t="s">
        <v>93</v>
      </c>
      <c r="I2" t="s">
        <v>94</v>
      </c>
      <c r="J2" t="s">
        <v>95</v>
      </c>
    </row>
    <row r="3" spans="1:10" x14ac:dyDescent="0.25">
      <c r="A3" t="s">
        <v>86</v>
      </c>
      <c r="B3" t="s">
        <v>96</v>
      </c>
      <c r="C3" t="s">
        <v>97</v>
      </c>
      <c r="D3" t="s">
        <v>98</v>
      </c>
      <c r="E3" t="s">
        <v>99</v>
      </c>
      <c r="F3" t="s">
        <v>100</v>
      </c>
      <c r="H3" t="s">
        <v>101</v>
      </c>
      <c r="I3" t="s">
        <v>102</v>
      </c>
      <c r="J3" s="2" t="s">
        <v>103</v>
      </c>
    </row>
    <row r="4" spans="1:10" x14ac:dyDescent="0.25">
      <c r="A4" t="s">
        <v>85</v>
      </c>
      <c r="B4" t="s">
        <v>104</v>
      </c>
      <c r="C4" t="s">
        <v>105</v>
      </c>
      <c r="D4" t="s">
        <v>98</v>
      </c>
      <c r="E4" t="s">
        <v>106</v>
      </c>
      <c r="F4" t="s">
        <v>100</v>
      </c>
      <c r="H4" t="s">
        <v>107</v>
      </c>
      <c r="I4" t="s">
        <v>102</v>
      </c>
      <c r="J4" t="s">
        <v>108</v>
      </c>
    </row>
    <row r="5" spans="1:10" x14ac:dyDescent="0.25">
      <c r="A5" t="s">
        <v>84</v>
      </c>
      <c r="B5" t="s">
        <v>109</v>
      </c>
      <c r="C5" t="s">
        <v>686</v>
      </c>
      <c r="D5" t="s">
        <v>90</v>
      </c>
      <c r="E5" t="s">
        <v>110</v>
      </c>
      <c r="F5" t="s">
        <v>111</v>
      </c>
      <c r="H5" t="s">
        <v>112</v>
      </c>
      <c r="I5" t="s">
        <v>113</v>
      </c>
      <c r="J5" t="s">
        <v>114</v>
      </c>
    </row>
    <row r="6" spans="1:10" x14ac:dyDescent="0.25">
      <c r="A6" t="s">
        <v>83</v>
      </c>
      <c r="B6" t="s">
        <v>115</v>
      </c>
      <c r="C6" t="s">
        <v>116</v>
      </c>
      <c r="D6" t="s">
        <v>117</v>
      </c>
      <c r="E6" t="s">
        <v>118</v>
      </c>
      <c r="F6" t="s">
        <v>119</v>
      </c>
      <c r="H6" t="s">
        <v>120</v>
      </c>
      <c r="I6" t="s">
        <v>121</v>
      </c>
      <c r="J6" t="s">
        <v>122</v>
      </c>
    </row>
    <row r="7" spans="1:10" x14ac:dyDescent="0.25">
      <c r="A7" t="s">
        <v>82</v>
      </c>
      <c r="B7" t="s">
        <v>123</v>
      </c>
      <c r="C7" t="s">
        <v>687</v>
      </c>
      <c r="D7" t="s">
        <v>90</v>
      </c>
      <c r="E7" t="s">
        <v>124</v>
      </c>
      <c r="F7" t="s">
        <v>125</v>
      </c>
      <c r="H7" t="s">
        <v>126</v>
      </c>
      <c r="I7" t="s">
        <v>94</v>
      </c>
      <c r="J7" t="s">
        <v>127</v>
      </c>
    </row>
    <row r="8" spans="1:10" x14ac:dyDescent="0.25">
      <c r="A8" t="s">
        <v>81</v>
      </c>
      <c r="B8" t="s">
        <v>128</v>
      </c>
      <c r="C8" t="s">
        <v>129</v>
      </c>
      <c r="D8" t="s">
        <v>130</v>
      </c>
      <c r="E8" t="s">
        <v>131</v>
      </c>
      <c r="F8" t="s">
        <v>132</v>
      </c>
      <c r="H8" t="s">
        <v>133</v>
      </c>
      <c r="I8" t="s">
        <v>134</v>
      </c>
      <c r="J8" t="s">
        <v>135</v>
      </c>
    </row>
    <row r="9" spans="1:10" x14ac:dyDescent="0.25">
      <c r="A9" t="s">
        <v>80</v>
      </c>
      <c r="B9" t="s">
        <v>136</v>
      </c>
      <c r="C9" t="s">
        <v>137</v>
      </c>
      <c r="D9" t="s">
        <v>98</v>
      </c>
      <c r="E9" t="s">
        <v>138</v>
      </c>
      <c r="F9" t="s">
        <v>139</v>
      </c>
      <c r="H9" t="s">
        <v>140</v>
      </c>
      <c r="I9" t="s">
        <v>141</v>
      </c>
      <c r="J9" t="s">
        <v>142</v>
      </c>
    </row>
    <row r="10" spans="1:10" x14ac:dyDescent="0.25">
      <c r="A10" t="s">
        <v>79</v>
      </c>
      <c r="B10" t="s">
        <v>143</v>
      </c>
      <c r="C10" t="s">
        <v>144</v>
      </c>
      <c r="D10" t="s">
        <v>98</v>
      </c>
      <c r="E10" t="s">
        <v>145</v>
      </c>
      <c r="F10" t="s">
        <v>146</v>
      </c>
      <c r="H10" t="s">
        <v>147</v>
      </c>
      <c r="I10" t="s">
        <v>134</v>
      </c>
      <c r="J10" t="s">
        <v>148</v>
      </c>
    </row>
    <row r="11" spans="1:10" x14ac:dyDescent="0.25">
      <c r="A11" t="s">
        <v>78</v>
      </c>
      <c r="B11" t="s">
        <v>149</v>
      </c>
      <c r="C11" t="s">
        <v>150</v>
      </c>
      <c r="D11" t="s">
        <v>151</v>
      </c>
      <c r="E11" t="s">
        <v>152</v>
      </c>
      <c r="F11" t="s">
        <v>153</v>
      </c>
      <c r="G11" t="s">
        <v>154</v>
      </c>
      <c r="H11" t="s">
        <v>155</v>
      </c>
      <c r="I11" t="s">
        <v>156</v>
      </c>
      <c r="J11" t="s">
        <v>157</v>
      </c>
    </row>
    <row r="12" spans="1:10" x14ac:dyDescent="0.25">
      <c r="A12" t="s">
        <v>77</v>
      </c>
      <c r="B12" t="s">
        <v>158</v>
      </c>
      <c r="C12" t="s">
        <v>159</v>
      </c>
      <c r="D12" t="s">
        <v>90</v>
      </c>
      <c r="E12" t="s">
        <v>160</v>
      </c>
      <c r="F12" t="s">
        <v>111</v>
      </c>
      <c r="H12" t="s">
        <v>161</v>
      </c>
      <c r="I12" t="s">
        <v>113</v>
      </c>
      <c r="J12" t="s">
        <v>162</v>
      </c>
    </row>
    <row r="13" spans="1:10" x14ac:dyDescent="0.25">
      <c r="A13" t="s">
        <v>76</v>
      </c>
      <c r="B13" t="s">
        <v>163</v>
      </c>
      <c r="C13" t="s">
        <v>164</v>
      </c>
      <c r="D13" t="s">
        <v>165</v>
      </c>
      <c r="E13" t="s">
        <v>166</v>
      </c>
      <c r="F13" t="s">
        <v>167</v>
      </c>
      <c r="H13" t="s">
        <v>168</v>
      </c>
      <c r="I13" t="s">
        <v>169</v>
      </c>
      <c r="J13" t="s">
        <v>170</v>
      </c>
    </row>
    <row r="14" spans="1:10" x14ac:dyDescent="0.25">
      <c r="A14" t="s">
        <v>75</v>
      </c>
      <c r="B14" t="s">
        <v>171</v>
      </c>
      <c r="C14" t="s">
        <v>172</v>
      </c>
      <c r="D14" t="s">
        <v>130</v>
      </c>
      <c r="E14" t="s">
        <v>173</v>
      </c>
      <c r="F14" t="s">
        <v>100</v>
      </c>
      <c r="H14" t="s">
        <v>174</v>
      </c>
      <c r="I14" t="s">
        <v>102</v>
      </c>
      <c r="J14" t="s">
        <v>175</v>
      </c>
    </row>
    <row r="15" spans="1:10" x14ac:dyDescent="0.25">
      <c r="A15" t="s">
        <v>74</v>
      </c>
      <c r="B15" t="s">
        <v>176</v>
      </c>
      <c r="C15" t="s">
        <v>688</v>
      </c>
      <c r="D15" t="s">
        <v>98</v>
      </c>
      <c r="E15" t="s">
        <v>177</v>
      </c>
      <c r="F15" t="s">
        <v>178</v>
      </c>
      <c r="H15" t="s">
        <v>179</v>
      </c>
      <c r="I15" t="s">
        <v>180</v>
      </c>
      <c r="J15" t="s">
        <v>181</v>
      </c>
    </row>
    <row r="16" spans="1:10" x14ac:dyDescent="0.25">
      <c r="A16" t="s">
        <v>73</v>
      </c>
      <c r="B16" t="s">
        <v>182</v>
      </c>
      <c r="C16" t="s">
        <v>183</v>
      </c>
      <c r="D16" t="s">
        <v>184</v>
      </c>
      <c r="E16" t="s">
        <v>185</v>
      </c>
      <c r="F16" t="s">
        <v>186</v>
      </c>
      <c r="G16" t="s">
        <v>187</v>
      </c>
      <c r="H16" t="s">
        <v>188</v>
      </c>
      <c r="I16" t="s">
        <v>189</v>
      </c>
      <c r="J16" t="s">
        <v>190</v>
      </c>
    </row>
    <row r="17" spans="1:10" x14ac:dyDescent="0.25">
      <c r="A17" t="s">
        <v>72</v>
      </c>
      <c r="B17" t="s">
        <v>191</v>
      </c>
      <c r="C17" t="s">
        <v>192</v>
      </c>
      <c r="D17" t="s">
        <v>90</v>
      </c>
      <c r="E17" t="s">
        <v>193</v>
      </c>
      <c r="F17" t="s">
        <v>111</v>
      </c>
      <c r="H17" t="s">
        <v>194</v>
      </c>
      <c r="I17" t="s">
        <v>113</v>
      </c>
      <c r="J17" t="s">
        <v>195</v>
      </c>
    </row>
    <row r="18" spans="1:10" x14ac:dyDescent="0.25">
      <c r="A18" t="s">
        <v>6</v>
      </c>
      <c r="B18" t="s">
        <v>610</v>
      </c>
      <c r="C18" t="s">
        <v>611</v>
      </c>
      <c r="D18" t="s">
        <v>90</v>
      </c>
      <c r="E18" t="s">
        <v>612</v>
      </c>
      <c r="F18" t="s">
        <v>613</v>
      </c>
      <c r="H18" t="s">
        <v>614</v>
      </c>
      <c r="I18" t="s">
        <v>94</v>
      </c>
      <c r="J18" t="s">
        <v>615</v>
      </c>
    </row>
    <row r="19" spans="1:10" x14ac:dyDescent="0.25">
      <c r="A19" t="s">
        <v>71</v>
      </c>
      <c r="B19" t="s">
        <v>196</v>
      </c>
      <c r="C19" t="s">
        <v>197</v>
      </c>
      <c r="D19" t="s">
        <v>117</v>
      </c>
      <c r="E19" t="s">
        <v>198</v>
      </c>
      <c r="F19" t="s">
        <v>199</v>
      </c>
      <c r="H19" t="s">
        <v>200</v>
      </c>
      <c r="I19" t="s">
        <v>94</v>
      </c>
      <c r="J19" t="s">
        <v>201</v>
      </c>
    </row>
    <row r="20" spans="1:10" x14ac:dyDescent="0.25">
      <c r="A20" t="s">
        <v>70</v>
      </c>
      <c r="B20" t="s">
        <v>202</v>
      </c>
      <c r="C20" t="s">
        <v>203</v>
      </c>
      <c r="D20" t="s">
        <v>98</v>
      </c>
      <c r="E20" t="s">
        <v>204</v>
      </c>
      <c r="F20" t="s">
        <v>205</v>
      </c>
      <c r="H20" t="s">
        <v>206</v>
      </c>
      <c r="I20" t="s">
        <v>134</v>
      </c>
      <c r="J20" t="s">
        <v>207</v>
      </c>
    </row>
    <row r="21" spans="1:10" x14ac:dyDescent="0.25">
      <c r="A21" t="s">
        <v>69</v>
      </c>
      <c r="B21" t="s">
        <v>208</v>
      </c>
      <c r="C21" t="s">
        <v>689</v>
      </c>
      <c r="D21" t="s">
        <v>165</v>
      </c>
      <c r="E21" t="s">
        <v>209</v>
      </c>
      <c r="F21" t="s">
        <v>111</v>
      </c>
      <c r="H21" t="s">
        <v>210</v>
      </c>
      <c r="I21" t="s">
        <v>113</v>
      </c>
      <c r="J21" t="s">
        <v>211</v>
      </c>
    </row>
    <row r="22" spans="1:10" x14ac:dyDescent="0.25">
      <c r="A22" t="s">
        <v>68</v>
      </c>
      <c r="B22" t="s">
        <v>212</v>
      </c>
      <c r="C22" t="s">
        <v>213</v>
      </c>
      <c r="D22" t="s">
        <v>214</v>
      </c>
      <c r="E22" t="s">
        <v>215</v>
      </c>
      <c r="F22" t="s">
        <v>216</v>
      </c>
      <c r="H22" t="s">
        <v>217</v>
      </c>
      <c r="I22" t="s">
        <v>218</v>
      </c>
      <c r="J22" t="s">
        <v>219</v>
      </c>
    </row>
    <row r="23" spans="1:10" x14ac:dyDescent="0.25">
      <c r="A23" t="s">
        <v>67</v>
      </c>
      <c r="B23" t="s">
        <v>220</v>
      </c>
      <c r="C23" t="s">
        <v>690</v>
      </c>
      <c r="D23" t="s">
        <v>221</v>
      </c>
      <c r="E23" t="s">
        <v>222</v>
      </c>
      <c r="F23" t="s">
        <v>186</v>
      </c>
      <c r="G23" t="s">
        <v>187</v>
      </c>
      <c r="H23" t="s">
        <v>223</v>
      </c>
      <c r="I23" t="s">
        <v>189</v>
      </c>
      <c r="J23" t="s">
        <v>224</v>
      </c>
    </row>
    <row r="24" spans="1:10" x14ac:dyDescent="0.25">
      <c r="A24" t="s">
        <v>225</v>
      </c>
      <c r="B24" t="s">
        <v>684</v>
      </c>
      <c r="C24" t="s">
        <v>226</v>
      </c>
      <c r="D24" t="s">
        <v>151</v>
      </c>
      <c r="E24" t="s">
        <v>227</v>
      </c>
      <c r="F24" t="s">
        <v>139</v>
      </c>
      <c r="H24" t="s">
        <v>228</v>
      </c>
      <c r="I24" t="s">
        <v>141</v>
      </c>
      <c r="J24" t="s">
        <v>229</v>
      </c>
    </row>
    <row r="25" spans="1:10" x14ac:dyDescent="0.25">
      <c r="A25" t="s">
        <v>66</v>
      </c>
      <c r="B25" t="s">
        <v>230</v>
      </c>
      <c r="C25" t="s">
        <v>231</v>
      </c>
      <c r="D25" t="s">
        <v>232</v>
      </c>
      <c r="E25" t="s">
        <v>233</v>
      </c>
      <c r="F25" t="s">
        <v>234</v>
      </c>
      <c r="H25" t="s">
        <v>235</v>
      </c>
      <c r="I25" t="s">
        <v>134</v>
      </c>
      <c r="J25" t="s">
        <v>236</v>
      </c>
    </row>
    <row r="26" spans="1:10" x14ac:dyDescent="0.25">
      <c r="A26" t="s">
        <v>65</v>
      </c>
      <c r="B26" t="s">
        <v>237</v>
      </c>
      <c r="C26" t="s">
        <v>238</v>
      </c>
      <c r="D26" t="s">
        <v>98</v>
      </c>
      <c r="E26" t="s">
        <v>239</v>
      </c>
      <c r="F26" t="s">
        <v>240</v>
      </c>
      <c r="H26" t="s">
        <v>241</v>
      </c>
      <c r="I26" t="s">
        <v>121</v>
      </c>
      <c r="J26" t="s">
        <v>242</v>
      </c>
    </row>
    <row r="27" spans="1:10" x14ac:dyDescent="0.25">
      <c r="A27" t="s">
        <v>63</v>
      </c>
      <c r="B27" t="s">
        <v>249</v>
      </c>
      <c r="C27" t="s">
        <v>250</v>
      </c>
      <c r="D27" t="s">
        <v>130</v>
      </c>
      <c r="E27" t="s">
        <v>251</v>
      </c>
      <c r="F27" t="s">
        <v>205</v>
      </c>
      <c r="H27" t="s">
        <v>206</v>
      </c>
      <c r="I27" t="s">
        <v>134</v>
      </c>
      <c r="J27" t="s">
        <v>252</v>
      </c>
    </row>
    <row r="28" spans="1:10" x14ac:dyDescent="0.25">
      <c r="A28" t="s">
        <v>62</v>
      </c>
      <c r="B28" t="s">
        <v>253</v>
      </c>
      <c r="C28" t="s">
        <v>254</v>
      </c>
      <c r="D28" t="s">
        <v>90</v>
      </c>
      <c r="E28" t="s">
        <v>255</v>
      </c>
      <c r="F28" t="s">
        <v>256</v>
      </c>
      <c r="H28" t="s">
        <v>257</v>
      </c>
      <c r="I28" t="s">
        <v>258</v>
      </c>
      <c r="J28" t="s">
        <v>259</v>
      </c>
    </row>
    <row r="29" spans="1:10" x14ac:dyDescent="0.25">
      <c r="A29" t="s">
        <v>64</v>
      </c>
      <c r="B29" t="s">
        <v>243</v>
      </c>
      <c r="C29" t="s">
        <v>244</v>
      </c>
      <c r="D29" t="s">
        <v>130</v>
      </c>
      <c r="E29" t="s">
        <v>245</v>
      </c>
      <c r="F29" t="s">
        <v>246</v>
      </c>
      <c r="H29" t="s">
        <v>247</v>
      </c>
      <c r="I29" t="s">
        <v>94</v>
      </c>
      <c r="J29" t="s">
        <v>248</v>
      </c>
    </row>
    <row r="30" spans="1:10" x14ac:dyDescent="0.25">
      <c r="A30" t="s">
        <v>61</v>
      </c>
      <c r="B30" t="s">
        <v>260</v>
      </c>
      <c r="C30" t="s">
        <v>261</v>
      </c>
      <c r="D30" t="s">
        <v>214</v>
      </c>
      <c r="E30" t="s">
        <v>262</v>
      </c>
      <c r="F30" t="s">
        <v>263</v>
      </c>
      <c r="H30" t="s">
        <v>264</v>
      </c>
      <c r="I30" t="s">
        <v>265</v>
      </c>
      <c r="J30" t="s">
        <v>266</v>
      </c>
    </row>
    <row r="31" spans="1:10" x14ac:dyDescent="0.25">
      <c r="A31" t="s">
        <v>88</v>
      </c>
      <c r="B31" t="s">
        <v>267</v>
      </c>
      <c r="C31" t="s">
        <v>268</v>
      </c>
      <c r="D31" t="s">
        <v>130</v>
      </c>
      <c r="E31" t="s">
        <v>269</v>
      </c>
      <c r="F31" t="s">
        <v>270</v>
      </c>
      <c r="H31" t="s">
        <v>271</v>
      </c>
      <c r="I31" t="s">
        <v>141</v>
      </c>
      <c r="J31" t="s">
        <v>272</v>
      </c>
    </row>
    <row r="32" spans="1:10" x14ac:dyDescent="0.25">
      <c r="A32" t="s">
        <v>60</v>
      </c>
      <c r="B32" t="s">
        <v>273</v>
      </c>
      <c r="C32" t="s">
        <v>274</v>
      </c>
      <c r="D32" t="s">
        <v>214</v>
      </c>
      <c r="E32" t="s">
        <v>275</v>
      </c>
      <c r="F32" t="s">
        <v>276</v>
      </c>
      <c r="H32" t="s">
        <v>277</v>
      </c>
      <c r="I32" t="s">
        <v>141</v>
      </c>
      <c r="J32" t="s">
        <v>278</v>
      </c>
    </row>
    <row r="33" spans="1:10" x14ac:dyDescent="0.25">
      <c r="A33" t="s">
        <v>59</v>
      </c>
      <c r="B33" t="s">
        <v>279</v>
      </c>
      <c r="C33" t="s">
        <v>280</v>
      </c>
      <c r="D33" t="s">
        <v>184</v>
      </c>
      <c r="E33" t="s">
        <v>281</v>
      </c>
      <c r="F33" t="s">
        <v>282</v>
      </c>
      <c r="G33" t="s">
        <v>187</v>
      </c>
      <c r="H33" t="s">
        <v>283</v>
      </c>
      <c r="I33" t="s">
        <v>189</v>
      </c>
      <c r="J33" t="s">
        <v>284</v>
      </c>
    </row>
    <row r="34" spans="1:10" x14ac:dyDescent="0.25">
      <c r="A34" t="s">
        <v>58</v>
      </c>
      <c r="B34" t="s">
        <v>285</v>
      </c>
      <c r="C34" t="s">
        <v>691</v>
      </c>
      <c r="D34" t="s">
        <v>130</v>
      </c>
      <c r="E34" t="s">
        <v>286</v>
      </c>
      <c r="F34" t="s">
        <v>287</v>
      </c>
      <c r="G34" t="s">
        <v>288</v>
      </c>
      <c r="H34" t="s">
        <v>289</v>
      </c>
      <c r="I34" t="s">
        <v>290</v>
      </c>
      <c r="J34" t="s">
        <v>291</v>
      </c>
    </row>
    <row r="35" spans="1:10" x14ac:dyDescent="0.25">
      <c r="A35" t="s">
        <v>57</v>
      </c>
      <c r="B35" t="s">
        <v>292</v>
      </c>
      <c r="C35" t="s">
        <v>293</v>
      </c>
      <c r="D35" t="s">
        <v>98</v>
      </c>
      <c r="E35" t="s">
        <v>294</v>
      </c>
      <c r="F35" t="s">
        <v>295</v>
      </c>
      <c r="G35" t="s">
        <v>296</v>
      </c>
      <c r="H35" t="s">
        <v>297</v>
      </c>
      <c r="I35" t="s">
        <v>298</v>
      </c>
      <c r="J35" t="s">
        <v>299</v>
      </c>
    </row>
    <row r="36" spans="1:10" x14ac:dyDescent="0.25">
      <c r="A36" t="s">
        <v>56</v>
      </c>
      <c r="B36" t="s">
        <v>300</v>
      </c>
      <c r="C36" t="s">
        <v>301</v>
      </c>
      <c r="D36" t="s">
        <v>151</v>
      </c>
      <c r="E36" t="s">
        <v>302</v>
      </c>
      <c r="F36" t="s">
        <v>303</v>
      </c>
      <c r="G36" t="s">
        <v>304</v>
      </c>
      <c r="H36" t="s">
        <v>305</v>
      </c>
      <c r="I36" t="s">
        <v>189</v>
      </c>
      <c r="J36" t="s">
        <v>306</v>
      </c>
    </row>
    <row r="37" spans="1:10" x14ac:dyDescent="0.25">
      <c r="A37" t="s">
        <v>55</v>
      </c>
      <c r="B37" t="s">
        <v>307</v>
      </c>
      <c r="C37" t="s">
        <v>308</v>
      </c>
      <c r="D37" t="s">
        <v>90</v>
      </c>
      <c r="E37" t="s">
        <v>309</v>
      </c>
      <c r="F37" t="s">
        <v>310</v>
      </c>
      <c r="G37" t="s">
        <v>311</v>
      </c>
      <c r="H37" t="s">
        <v>312</v>
      </c>
      <c r="I37" t="s">
        <v>298</v>
      </c>
      <c r="J37" t="s">
        <v>313</v>
      </c>
    </row>
    <row r="38" spans="1:10" x14ac:dyDescent="0.25">
      <c r="A38" t="s">
        <v>54</v>
      </c>
      <c r="B38" t="s">
        <v>314</v>
      </c>
      <c r="C38" t="s">
        <v>315</v>
      </c>
      <c r="D38" t="s">
        <v>90</v>
      </c>
      <c r="E38" t="s">
        <v>316</v>
      </c>
      <c r="F38" t="s">
        <v>317</v>
      </c>
      <c r="G38" t="s">
        <v>288</v>
      </c>
      <c r="H38" t="s">
        <v>318</v>
      </c>
      <c r="I38" t="s">
        <v>290</v>
      </c>
      <c r="J38" t="s">
        <v>319</v>
      </c>
    </row>
    <row r="39" spans="1:10" x14ac:dyDescent="0.25">
      <c r="A39" t="s">
        <v>53</v>
      </c>
      <c r="B39" t="s">
        <v>320</v>
      </c>
      <c r="C39" t="s">
        <v>692</v>
      </c>
      <c r="D39" t="s">
        <v>184</v>
      </c>
      <c r="E39" t="s">
        <v>321</v>
      </c>
      <c r="F39" t="s">
        <v>322</v>
      </c>
      <c r="G39" t="s">
        <v>323</v>
      </c>
      <c r="I39" t="s">
        <v>324</v>
      </c>
      <c r="J39" t="s">
        <v>325</v>
      </c>
    </row>
    <row r="40" spans="1:10" x14ac:dyDescent="0.25">
      <c r="A40" t="s">
        <v>52</v>
      </c>
      <c r="B40" t="s">
        <v>326</v>
      </c>
      <c r="C40" t="s">
        <v>327</v>
      </c>
      <c r="D40" t="s">
        <v>130</v>
      </c>
      <c r="E40" t="s">
        <v>328</v>
      </c>
      <c r="F40" t="s">
        <v>329</v>
      </c>
      <c r="G40" t="s">
        <v>330</v>
      </c>
      <c r="H40" t="s">
        <v>331</v>
      </c>
      <c r="I40" t="s">
        <v>113</v>
      </c>
      <c r="J40" t="s">
        <v>332</v>
      </c>
    </row>
    <row r="41" spans="1:10" x14ac:dyDescent="0.25">
      <c r="A41" t="s">
        <v>51</v>
      </c>
      <c r="B41" t="s">
        <v>333</v>
      </c>
      <c r="C41" t="s">
        <v>693</v>
      </c>
      <c r="D41" t="s">
        <v>184</v>
      </c>
      <c r="E41" t="s">
        <v>334</v>
      </c>
      <c r="F41" t="s">
        <v>335</v>
      </c>
      <c r="H41" t="s">
        <v>336</v>
      </c>
      <c r="I41" t="s">
        <v>94</v>
      </c>
      <c r="J41" t="s">
        <v>337</v>
      </c>
    </row>
    <row r="42" spans="1:10" x14ac:dyDescent="0.25">
      <c r="A42" t="s">
        <v>50</v>
      </c>
      <c r="B42" t="s">
        <v>338</v>
      </c>
      <c r="C42" t="s">
        <v>339</v>
      </c>
      <c r="D42" t="s">
        <v>90</v>
      </c>
      <c r="E42" t="s">
        <v>340</v>
      </c>
      <c r="F42" t="s">
        <v>341</v>
      </c>
      <c r="H42" t="s">
        <v>342</v>
      </c>
      <c r="I42" t="s">
        <v>134</v>
      </c>
      <c r="J42" t="s">
        <v>343</v>
      </c>
    </row>
    <row r="43" spans="1:10" x14ac:dyDescent="0.25">
      <c r="A43" t="s">
        <v>49</v>
      </c>
      <c r="B43" t="s">
        <v>344</v>
      </c>
      <c r="C43" t="s">
        <v>345</v>
      </c>
      <c r="D43" t="s">
        <v>214</v>
      </c>
      <c r="E43" t="s">
        <v>346</v>
      </c>
      <c r="F43" t="s">
        <v>347</v>
      </c>
      <c r="H43" t="s">
        <v>348</v>
      </c>
      <c r="I43" t="s">
        <v>134</v>
      </c>
      <c r="J43" t="s">
        <v>349</v>
      </c>
    </row>
    <row r="44" spans="1:10" x14ac:dyDescent="0.25">
      <c r="A44" t="s">
        <v>48</v>
      </c>
      <c r="B44" t="s">
        <v>350</v>
      </c>
      <c r="C44" t="s">
        <v>351</v>
      </c>
      <c r="D44" t="s">
        <v>221</v>
      </c>
      <c r="E44" t="s">
        <v>352</v>
      </c>
      <c r="F44" t="s">
        <v>353</v>
      </c>
      <c r="G44" t="s">
        <v>154</v>
      </c>
      <c r="H44" t="s">
        <v>354</v>
      </c>
      <c r="I44" t="s">
        <v>156</v>
      </c>
      <c r="J44" t="s">
        <v>355</v>
      </c>
    </row>
    <row r="45" spans="1:10" x14ac:dyDescent="0.25">
      <c r="A45" t="s">
        <v>47</v>
      </c>
      <c r="B45" t="s">
        <v>356</v>
      </c>
      <c r="C45" t="s">
        <v>694</v>
      </c>
      <c r="D45" t="s">
        <v>130</v>
      </c>
      <c r="E45" t="s">
        <v>357</v>
      </c>
      <c r="F45" t="s">
        <v>358</v>
      </c>
      <c r="G45" t="s">
        <v>359</v>
      </c>
      <c r="H45" t="s">
        <v>360</v>
      </c>
      <c r="I45" t="s">
        <v>290</v>
      </c>
      <c r="J45" t="s">
        <v>361</v>
      </c>
    </row>
    <row r="46" spans="1:10" x14ac:dyDescent="0.25">
      <c r="A46" t="s">
        <v>46</v>
      </c>
      <c r="B46" t="s">
        <v>362</v>
      </c>
      <c r="C46" t="s">
        <v>363</v>
      </c>
      <c r="D46" t="s">
        <v>90</v>
      </c>
      <c r="E46" t="s">
        <v>364</v>
      </c>
      <c r="F46" t="s">
        <v>365</v>
      </c>
      <c r="H46" t="s">
        <v>366</v>
      </c>
      <c r="I46" t="s">
        <v>94</v>
      </c>
      <c r="J46" t="s">
        <v>367</v>
      </c>
    </row>
    <row r="47" spans="1:10" x14ac:dyDescent="0.25">
      <c r="A47" t="s">
        <v>45</v>
      </c>
      <c r="B47" t="s">
        <v>368</v>
      </c>
      <c r="C47" t="s">
        <v>369</v>
      </c>
      <c r="D47" t="s">
        <v>98</v>
      </c>
      <c r="E47" t="s">
        <v>370</v>
      </c>
      <c r="F47" t="s">
        <v>371</v>
      </c>
      <c r="G47" t="s">
        <v>372</v>
      </c>
      <c r="H47" t="s">
        <v>373</v>
      </c>
      <c r="I47" t="s">
        <v>290</v>
      </c>
      <c r="J47" t="s">
        <v>374</v>
      </c>
    </row>
    <row r="48" spans="1:10" x14ac:dyDescent="0.25">
      <c r="A48" t="s">
        <v>44</v>
      </c>
      <c r="B48" t="s">
        <v>375</v>
      </c>
      <c r="C48" t="s">
        <v>376</v>
      </c>
      <c r="D48" t="s">
        <v>151</v>
      </c>
      <c r="E48" t="s">
        <v>377</v>
      </c>
      <c r="F48" t="s">
        <v>378</v>
      </c>
      <c r="G48" t="s">
        <v>379</v>
      </c>
      <c r="H48" t="s">
        <v>380</v>
      </c>
      <c r="I48" t="s">
        <v>298</v>
      </c>
      <c r="J48" t="s">
        <v>381</v>
      </c>
    </row>
    <row r="49" spans="1:10" x14ac:dyDescent="0.25">
      <c r="A49" t="s">
        <v>43</v>
      </c>
      <c r="B49" t="s">
        <v>382</v>
      </c>
      <c r="C49" t="s">
        <v>383</v>
      </c>
      <c r="D49" t="s">
        <v>98</v>
      </c>
      <c r="E49" t="s">
        <v>384</v>
      </c>
      <c r="F49" t="s">
        <v>385</v>
      </c>
      <c r="G49" t="s">
        <v>386</v>
      </c>
      <c r="H49" t="s">
        <v>387</v>
      </c>
      <c r="I49" t="s">
        <v>298</v>
      </c>
      <c r="J49" t="s">
        <v>388</v>
      </c>
    </row>
    <row r="50" spans="1:10" x14ac:dyDescent="0.25">
      <c r="A50" t="s">
        <v>42</v>
      </c>
      <c r="B50" t="s">
        <v>389</v>
      </c>
      <c r="C50" t="s">
        <v>390</v>
      </c>
      <c r="D50" t="s">
        <v>214</v>
      </c>
      <c r="E50" t="s">
        <v>391</v>
      </c>
      <c r="F50" t="s">
        <v>392</v>
      </c>
      <c r="G50" t="s">
        <v>288</v>
      </c>
      <c r="H50" t="s">
        <v>393</v>
      </c>
      <c r="I50" t="s">
        <v>290</v>
      </c>
      <c r="J50" t="s">
        <v>394</v>
      </c>
    </row>
    <row r="51" spans="1:10" x14ac:dyDescent="0.25">
      <c r="A51" t="s">
        <v>41</v>
      </c>
      <c r="B51" t="s">
        <v>395</v>
      </c>
      <c r="C51" t="s">
        <v>396</v>
      </c>
      <c r="D51" t="s">
        <v>130</v>
      </c>
      <c r="E51" t="s">
        <v>397</v>
      </c>
      <c r="F51" t="s">
        <v>398</v>
      </c>
      <c r="H51" t="s">
        <v>399</v>
      </c>
      <c r="I51" t="s">
        <v>258</v>
      </c>
      <c r="J51" t="s">
        <v>400</v>
      </c>
    </row>
    <row r="52" spans="1:10" x14ac:dyDescent="0.25">
      <c r="A52" t="s">
        <v>40</v>
      </c>
      <c r="B52" t="s">
        <v>401</v>
      </c>
      <c r="C52" t="s">
        <v>402</v>
      </c>
      <c r="D52" t="s">
        <v>165</v>
      </c>
      <c r="E52" t="s">
        <v>403</v>
      </c>
      <c r="F52" t="s">
        <v>404</v>
      </c>
      <c r="H52" t="s">
        <v>405</v>
      </c>
      <c r="I52" t="s">
        <v>406</v>
      </c>
      <c r="J52" t="s">
        <v>407</v>
      </c>
    </row>
    <row r="53" spans="1:10" x14ac:dyDescent="0.25">
      <c r="A53" t="s">
        <v>39</v>
      </c>
      <c r="B53" t="s">
        <v>408</v>
      </c>
      <c r="C53" t="s">
        <v>409</v>
      </c>
      <c r="D53" t="s">
        <v>221</v>
      </c>
      <c r="E53" t="s">
        <v>410</v>
      </c>
      <c r="F53" t="s">
        <v>411</v>
      </c>
      <c r="G53" t="s">
        <v>412</v>
      </c>
      <c r="H53" t="s">
        <v>413</v>
      </c>
      <c r="I53" t="s">
        <v>156</v>
      </c>
      <c r="J53" t="s">
        <v>414</v>
      </c>
    </row>
    <row r="54" spans="1:10" x14ac:dyDescent="0.25">
      <c r="A54" t="s">
        <v>38</v>
      </c>
      <c r="B54" t="s">
        <v>415</v>
      </c>
      <c r="C54" t="s">
        <v>416</v>
      </c>
      <c r="D54" t="s">
        <v>221</v>
      </c>
      <c r="E54" t="s">
        <v>417</v>
      </c>
      <c r="F54" t="s">
        <v>418</v>
      </c>
      <c r="H54" t="s">
        <v>419</v>
      </c>
      <c r="I54" t="s">
        <v>94</v>
      </c>
      <c r="J54" t="s">
        <v>420</v>
      </c>
    </row>
    <row r="55" spans="1:10" x14ac:dyDescent="0.25">
      <c r="A55" t="s">
        <v>37</v>
      </c>
      <c r="B55" t="s">
        <v>421</v>
      </c>
      <c r="C55" t="s">
        <v>422</v>
      </c>
      <c r="D55" t="s">
        <v>184</v>
      </c>
      <c r="E55" t="s">
        <v>423</v>
      </c>
      <c r="F55" t="s">
        <v>111</v>
      </c>
      <c r="H55" t="s">
        <v>424</v>
      </c>
      <c r="I55" t="s">
        <v>113</v>
      </c>
      <c r="J55" t="s">
        <v>425</v>
      </c>
    </row>
    <row r="56" spans="1:10" x14ac:dyDescent="0.25">
      <c r="A56" t="s">
        <v>36</v>
      </c>
      <c r="B56" t="s">
        <v>426</v>
      </c>
      <c r="C56" t="s">
        <v>427</v>
      </c>
      <c r="D56" t="s">
        <v>165</v>
      </c>
      <c r="E56" t="s">
        <v>428</v>
      </c>
      <c r="F56" t="s">
        <v>167</v>
      </c>
      <c r="H56" t="s">
        <v>168</v>
      </c>
      <c r="I56" t="s">
        <v>169</v>
      </c>
      <c r="J56" t="s">
        <v>429</v>
      </c>
    </row>
    <row r="57" spans="1:10" x14ac:dyDescent="0.25">
      <c r="A57" t="s">
        <v>32</v>
      </c>
      <c r="B57" t="s">
        <v>430</v>
      </c>
      <c r="C57" t="s">
        <v>431</v>
      </c>
      <c r="D57" t="s">
        <v>90</v>
      </c>
      <c r="E57" t="s">
        <v>432</v>
      </c>
      <c r="F57" t="s">
        <v>433</v>
      </c>
      <c r="G57" t="s">
        <v>434</v>
      </c>
      <c r="H57" t="s">
        <v>435</v>
      </c>
      <c r="I57" t="s">
        <v>290</v>
      </c>
      <c r="J57" t="s">
        <v>436</v>
      </c>
    </row>
    <row r="58" spans="1:10" x14ac:dyDescent="0.25">
      <c r="A58" t="s">
        <v>35</v>
      </c>
      <c r="B58" t="s">
        <v>437</v>
      </c>
      <c r="C58" t="s">
        <v>438</v>
      </c>
      <c r="D58" t="s">
        <v>98</v>
      </c>
      <c r="E58" t="s">
        <v>439</v>
      </c>
      <c r="F58" t="s">
        <v>440</v>
      </c>
      <c r="H58" t="s">
        <v>441</v>
      </c>
      <c r="I58" t="s">
        <v>94</v>
      </c>
      <c r="J58" t="s">
        <v>442</v>
      </c>
    </row>
    <row r="59" spans="1:10" x14ac:dyDescent="0.25">
      <c r="A59" t="s">
        <v>444</v>
      </c>
      <c r="B59" t="s">
        <v>443</v>
      </c>
      <c r="C59" t="s">
        <v>445</v>
      </c>
      <c r="D59" t="s">
        <v>98</v>
      </c>
      <c r="E59" t="s">
        <v>446</v>
      </c>
      <c r="F59" t="s">
        <v>447</v>
      </c>
      <c r="H59" t="s">
        <v>448</v>
      </c>
      <c r="I59" t="s">
        <v>134</v>
      </c>
      <c r="J59" t="s">
        <v>449</v>
      </c>
    </row>
    <row r="60" spans="1:10" x14ac:dyDescent="0.25">
      <c r="A60" t="s">
        <v>34</v>
      </c>
      <c r="B60" t="s">
        <v>450</v>
      </c>
      <c r="C60" t="s">
        <v>451</v>
      </c>
      <c r="D60" t="s">
        <v>90</v>
      </c>
      <c r="E60" t="s">
        <v>452</v>
      </c>
      <c r="F60" t="s">
        <v>100</v>
      </c>
      <c r="H60" t="s">
        <v>453</v>
      </c>
      <c r="I60" t="s">
        <v>102</v>
      </c>
      <c r="J60" t="s">
        <v>454</v>
      </c>
    </row>
    <row r="61" spans="1:10" x14ac:dyDescent="0.25">
      <c r="A61" t="s">
        <v>33</v>
      </c>
      <c r="B61" t="s">
        <v>455</v>
      </c>
      <c r="C61" t="s">
        <v>456</v>
      </c>
      <c r="D61" t="s">
        <v>214</v>
      </c>
      <c r="E61" t="s">
        <v>457</v>
      </c>
      <c r="F61" t="s">
        <v>458</v>
      </c>
      <c r="H61" t="s">
        <v>459</v>
      </c>
      <c r="I61" t="s">
        <v>218</v>
      </c>
      <c r="J61" t="s">
        <v>460</v>
      </c>
    </row>
    <row r="62" spans="1:10" x14ac:dyDescent="0.25">
      <c r="A62" t="s">
        <v>31</v>
      </c>
      <c r="B62" t="s">
        <v>461</v>
      </c>
      <c r="C62" t="s">
        <v>695</v>
      </c>
      <c r="D62" t="s">
        <v>90</v>
      </c>
      <c r="E62" t="s">
        <v>462</v>
      </c>
      <c r="F62" t="s">
        <v>263</v>
      </c>
      <c r="H62" t="s">
        <v>463</v>
      </c>
      <c r="I62" t="s">
        <v>265</v>
      </c>
      <c r="J62" t="s">
        <v>464</v>
      </c>
    </row>
    <row r="63" spans="1:10" x14ac:dyDescent="0.25">
      <c r="A63" t="s">
        <v>30</v>
      </c>
      <c r="B63" t="s">
        <v>465</v>
      </c>
      <c r="C63" t="s">
        <v>466</v>
      </c>
      <c r="D63" t="s">
        <v>151</v>
      </c>
      <c r="E63" t="s">
        <v>467</v>
      </c>
      <c r="F63" t="s">
        <v>303</v>
      </c>
      <c r="G63" t="s">
        <v>304</v>
      </c>
      <c r="H63" t="s">
        <v>468</v>
      </c>
      <c r="I63" t="s">
        <v>189</v>
      </c>
      <c r="J63" t="s">
        <v>469</v>
      </c>
    </row>
    <row r="64" spans="1:10" x14ac:dyDescent="0.25">
      <c r="A64" t="s">
        <v>29</v>
      </c>
      <c r="B64" t="s">
        <v>470</v>
      </c>
      <c r="C64" t="s">
        <v>471</v>
      </c>
      <c r="D64" t="s">
        <v>221</v>
      </c>
      <c r="E64" t="s">
        <v>472</v>
      </c>
      <c r="F64" t="s">
        <v>186</v>
      </c>
      <c r="G64" t="s">
        <v>187</v>
      </c>
      <c r="H64" t="s">
        <v>473</v>
      </c>
      <c r="I64" t="s">
        <v>189</v>
      </c>
      <c r="J64" t="s">
        <v>474</v>
      </c>
    </row>
    <row r="65" spans="1:10" x14ac:dyDescent="0.25">
      <c r="A65" t="s">
        <v>28</v>
      </c>
      <c r="B65" t="s">
        <v>475</v>
      </c>
      <c r="C65" t="s">
        <v>476</v>
      </c>
      <c r="D65" t="s">
        <v>151</v>
      </c>
      <c r="E65" t="s">
        <v>477</v>
      </c>
      <c r="F65" t="s">
        <v>478</v>
      </c>
      <c r="H65" t="s">
        <v>479</v>
      </c>
      <c r="I65" t="s">
        <v>94</v>
      </c>
      <c r="J65" t="s">
        <v>480</v>
      </c>
    </row>
    <row r="66" spans="1:10" x14ac:dyDescent="0.25">
      <c r="A66" t="s">
        <v>27</v>
      </c>
      <c r="B66" t="s">
        <v>481</v>
      </c>
      <c r="C66" t="s">
        <v>482</v>
      </c>
      <c r="D66" t="s">
        <v>90</v>
      </c>
      <c r="E66" t="s">
        <v>483</v>
      </c>
      <c r="F66" t="s">
        <v>167</v>
      </c>
      <c r="H66" t="s">
        <v>168</v>
      </c>
      <c r="I66" t="s">
        <v>169</v>
      </c>
      <c r="J66" t="s">
        <v>484</v>
      </c>
    </row>
    <row r="67" spans="1:10" x14ac:dyDescent="0.25">
      <c r="A67" t="s">
        <v>26</v>
      </c>
      <c r="B67" t="s">
        <v>485</v>
      </c>
      <c r="C67" t="s">
        <v>486</v>
      </c>
      <c r="D67" t="s">
        <v>487</v>
      </c>
      <c r="E67" t="s">
        <v>488</v>
      </c>
      <c r="F67" t="s">
        <v>489</v>
      </c>
      <c r="G67" t="s">
        <v>490</v>
      </c>
      <c r="H67" t="s">
        <v>491</v>
      </c>
      <c r="I67" t="s">
        <v>290</v>
      </c>
      <c r="J67" t="s">
        <v>492</v>
      </c>
    </row>
    <row r="68" spans="1:10" x14ac:dyDescent="0.25">
      <c r="A68" t="s">
        <v>25</v>
      </c>
      <c r="B68" t="s">
        <v>493</v>
      </c>
      <c r="C68" t="s">
        <v>494</v>
      </c>
      <c r="D68" t="s">
        <v>184</v>
      </c>
      <c r="E68" t="s">
        <v>495</v>
      </c>
      <c r="F68" t="s">
        <v>496</v>
      </c>
      <c r="H68" t="s">
        <v>497</v>
      </c>
      <c r="I68" t="s">
        <v>258</v>
      </c>
      <c r="J68" t="s">
        <v>498</v>
      </c>
    </row>
    <row r="69" spans="1:10" x14ac:dyDescent="0.25">
      <c r="A69" t="s">
        <v>24</v>
      </c>
      <c r="B69" t="s">
        <v>499</v>
      </c>
      <c r="C69" t="s">
        <v>500</v>
      </c>
      <c r="D69" t="s">
        <v>232</v>
      </c>
      <c r="E69" t="s">
        <v>501</v>
      </c>
      <c r="F69" t="s">
        <v>303</v>
      </c>
      <c r="G69" t="s">
        <v>304</v>
      </c>
      <c r="H69" t="s">
        <v>502</v>
      </c>
      <c r="I69" t="s">
        <v>189</v>
      </c>
      <c r="J69" t="s">
        <v>503</v>
      </c>
    </row>
    <row r="70" spans="1:10" x14ac:dyDescent="0.25">
      <c r="A70" t="s">
        <v>23</v>
      </c>
      <c r="B70" t="s">
        <v>504</v>
      </c>
      <c r="C70" t="s">
        <v>505</v>
      </c>
      <c r="D70" t="s">
        <v>214</v>
      </c>
      <c r="E70" t="s">
        <v>506</v>
      </c>
      <c r="F70" t="s">
        <v>507</v>
      </c>
      <c r="H70" t="s">
        <v>508</v>
      </c>
      <c r="I70" t="s">
        <v>180</v>
      </c>
      <c r="J70" t="s">
        <v>509</v>
      </c>
    </row>
    <row r="71" spans="1:10" x14ac:dyDescent="0.25">
      <c r="A71" t="s">
        <v>22</v>
      </c>
      <c r="B71" t="s">
        <v>510</v>
      </c>
      <c r="C71" t="s">
        <v>511</v>
      </c>
      <c r="D71" t="s">
        <v>151</v>
      </c>
      <c r="E71" t="s">
        <v>512</v>
      </c>
      <c r="F71" t="s">
        <v>139</v>
      </c>
      <c r="H71" t="s">
        <v>513</v>
      </c>
      <c r="I71" t="s">
        <v>141</v>
      </c>
      <c r="J71" t="s">
        <v>514</v>
      </c>
    </row>
    <row r="72" spans="1:10" x14ac:dyDescent="0.25">
      <c r="A72" t="s">
        <v>21</v>
      </c>
      <c r="B72" t="s">
        <v>515</v>
      </c>
      <c r="C72" t="s">
        <v>516</v>
      </c>
      <c r="D72" t="s">
        <v>98</v>
      </c>
      <c r="E72" t="s">
        <v>517</v>
      </c>
      <c r="F72" t="s">
        <v>518</v>
      </c>
      <c r="H72" t="s">
        <v>519</v>
      </c>
      <c r="I72" t="s">
        <v>520</v>
      </c>
      <c r="J72" t="s">
        <v>521</v>
      </c>
    </row>
    <row r="73" spans="1:10" x14ac:dyDescent="0.25">
      <c r="A73" t="s">
        <v>20</v>
      </c>
      <c r="B73" t="s">
        <v>522</v>
      </c>
      <c r="C73" t="s">
        <v>523</v>
      </c>
      <c r="D73" t="s">
        <v>90</v>
      </c>
      <c r="E73" t="s">
        <v>524</v>
      </c>
      <c r="F73" t="s">
        <v>525</v>
      </c>
      <c r="G73" t="s">
        <v>526</v>
      </c>
      <c r="H73" t="s">
        <v>527</v>
      </c>
      <c r="I73" t="s">
        <v>290</v>
      </c>
      <c r="J73" t="s">
        <v>528</v>
      </c>
    </row>
    <row r="74" spans="1:10" x14ac:dyDescent="0.25">
      <c r="A74" t="s">
        <v>19</v>
      </c>
      <c r="B74" t="s">
        <v>529</v>
      </c>
      <c r="C74" t="s">
        <v>530</v>
      </c>
      <c r="D74" t="s">
        <v>214</v>
      </c>
      <c r="E74" t="s">
        <v>531</v>
      </c>
      <c r="F74" t="s">
        <v>111</v>
      </c>
      <c r="H74" t="s">
        <v>532</v>
      </c>
      <c r="I74" t="s">
        <v>113</v>
      </c>
      <c r="J74" t="s">
        <v>533</v>
      </c>
    </row>
    <row r="75" spans="1:10" x14ac:dyDescent="0.25">
      <c r="A75" t="s">
        <v>18</v>
      </c>
      <c r="B75" t="s">
        <v>534</v>
      </c>
      <c r="C75" t="s">
        <v>535</v>
      </c>
      <c r="D75" t="s">
        <v>98</v>
      </c>
      <c r="E75" t="s">
        <v>536</v>
      </c>
      <c r="F75" t="s">
        <v>537</v>
      </c>
      <c r="H75" t="s">
        <v>538</v>
      </c>
      <c r="I75" t="s">
        <v>539</v>
      </c>
      <c r="J75" t="s">
        <v>540</v>
      </c>
    </row>
    <row r="76" spans="1:10" x14ac:dyDescent="0.25">
      <c r="A76" t="s">
        <v>17</v>
      </c>
      <c r="B76" t="s">
        <v>541</v>
      </c>
      <c r="C76" t="s">
        <v>542</v>
      </c>
      <c r="D76" t="s">
        <v>130</v>
      </c>
      <c r="E76" t="s">
        <v>543</v>
      </c>
      <c r="F76" t="s">
        <v>447</v>
      </c>
      <c r="H76" t="s">
        <v>544</v>
      </c>
      <c r="I76" t="s">
        <v>134</v>
      </c>
      <c r="J76" t="s">
        <v>545</v>
      </c>
    </row>
    <row r="77" spans="1:10" x14ac:dyDescent="0.25">
      <c r="A77" t="s">
        <v>16</v>
      </c>
      <c r="B77" t="s">
        <v>546</v>
      </c>
      <c r="C77" t="s">
        <v>547</v>
      </c>
      <c r="D77" t="s">
        <v>214</v>
      </c>
      <c r="E77" t="s">
        <v>548</v>
      </c>
      <c r="F77" t="s">
        <v>549</v>
      </c>
      <c r="G77" t="s">
        <v>550</v>
      </c>
      <c r="H77" t="s">
        <v>551</v>
      </c>
      <c r="I77" t="s">
        <v>290</v>
      </c>
      <c r="J77" t="s">
        <v>552</v>
      </c>
    </row>
    <row r="78" spans="1:10" x14ac:dyDescent="0.25">
      <c r="A78" t="s">
        <v>15</v>
      </c>
      <c r="B78" t="s">
        <v>553</v>
      </c>
      <c r="C78" t="s">
        <v>554</v>
      </c>
      <c r="D78" t="s">
        <v>151</v>
      </c>
      <c r="E78" t="s">
        <v>555</v>
      </c>
      <c r="F78" t="s">
        <v>556</v>
      </c>
      <c r="H78" t="s">
        <v>557</v>
      </c>
      <c r="I78" t="s">
        <v>406</v>
      </c>
      <c r="J78" t="s">
        <v>558</v>
      </c>
    </row>
    <row r="79" spans="1:10" x14ac:dyDescent="0.25">
      <c r="A79" t="s">
        <v>14</v>
      </c>
      <c r="B79" t="s">
        <v>559</v>
      </c>
      <c r="C79" t="s">
        <v>560</v>
      </c>
      <c r="D79" t="s">
        <v>130</v>
      </c>
      <c r="E79" t="s">
        <v>561</v>
      </c>
      <c r="F79" t="s">
        <v>392</v>
      </c>
      <c r="G79" t="s">
        <v>288</v>
      </c>
      <c r="H79" t="s">
        <v>562</v>
      </c>
      <c r="I79" t="s">
        <v>290</v>
      </c>
      <c r="J79" t="s">
        <v>563</v>
      </c>
    </row>
    <row r="80" spans="1:10" x14ac:dyDescent="0.25">
      <c r="A80" t="s">
        <v>13</v>
      </c>
      <c r="B80" t="s">
        <v>564</v>
      </c>
      <c r="C80" t="s">
        <v>565</v>
      </c>
      <c r="D80" t="s">
        <v>221</v>
      </c>
      <c r="E80" t="s">
        <v>566</v>
      </c>
      <c r="F80" t="s">
        <v>567</v>
      </c>
      <c r="G80" t="s">
        <v>568</v>
      </c>
      <c r="H80" t="s">
        <v>569</v>
      </c>
      <c r="I80" t="s">
        <v>290</v>
      </c>
      <c r="J80" t="s">
        <v>570</v>
      </c>
    </row>
    <row r="81" spans="1:10" x14ac:dyDescent="0.25">
      <c r="A81" t="s">
        <v>11</v>
      </c>
      <c r="B81" t="s">
        <v>571</v>
      </c>
      <c r="C81" t="s">
        <v>572</v>
      </c>
      <c r="D81" t="s">
        <v>130</v>
      </c>
      <c r="E81" t="s">
        <v>573</v>
      </c>
      <c r="F81" t="s">
        <v>574</v>
      </c>
      <c r="H81" t="s">
        <v>575</v>
      </c>
      <c r="I81" t="s">
        <v>94</v>
      </c>
      <c r="J81" t="s">
        <v>576</v>
      </c>
    </row>
    <row r="82" spans="1:10" x14ac:dyDescent="0.25">
      <c r="A82" t="s">
        <v>12</v>
      </c>
      <c r="B82" t="s">
        <v>577</v>
      </c>
      <c r="C82" t="s">
        <v>578</v>
      </c>
      <c r="D82" t="s">
        <v>98</v>
      </c>
      <c r="E82" t="s">
        <v>579</v>
      </c>
      <c r="F82" t="s">
        <v>100</v>
      </c>
      <c r="H82" t="s">
        <v>453</v>
      </c>
      <c r="I82" t="s">
        <v>102</v>
      </c>
      <c r="J82" t="s">
        <v>580</v>
      </c>
    </row>
    <row r="83" spans="1:10" x14ac:dyDescent="0.25">
      <c r="A83" t="s">
        <v>10</v>
      </c>
      <c r="B83" t="s">
        <v>581</v>
      </c>
      <c r="C83" t="s">
        <v>582</v>
      </c>
      <c r="D83" t="s">
        <v>90</v>
      </c>
      <c r="E83" t="s">
        <v>583</v>
      </c>
      <c r="F83" t="s">
        <v>186</v>
      </c>
      <c r="G83" t="s">
        <v>187</v>
      </c>
      <c r="H83" t="s">
        <v>584</v>
      </c>
      <c r="I83" t="s">
        <v>189</v>
      </c>
      <c r="J83" t="s">
        <v>585</v>
      </c>
    </row>
    <row r="84" spans="1:10" x14ac:dyDescent="0.25">
      <c r="A84" t="s">
        <v>9</v>
      </c>
      <c r="B84" t="s">
        <v>586</v>
      </c>
      <c r="C84" t="s">
        <v>587</v>
      </c>
      <c r="D84" t="s">
        <v>184</v>
      </c>
      <c r="E84" t="s">
        <v>588</v>
      </c>
      <c r="F84" t="s">
        <v>589</v>
      </c>
      <c r="G84" t="s">
        <v>359</v>
      </c>
      <c r="H84" t="s">
        <v>590</v>
      </c>
      <c r="I84" t="s">
        <v>290</v>
      </c>
      <c r="J84" t="s">
        <v>591</v>
      </c>
    </row>
    <row r="85" spans="1:10" x14ac:dyDescent="0.25">
      <c r="A85" t="s">
        <v>8</v>
      </c>
      <c r="B85" t="s">
        <v>592</v>
      </c>
      <c r="C85" t="s">
        <v>593</v>
      </c>
      <c r="D85" t="s">
        <v>214</v>
      </c>
      <c r="E85" t="s">
        <v>594</v>
      </c>
      <c r="F85" t="s">
        <v>595</v>
      </c>
      <c r="H85" t="s">
        <v>596</v>
      </c>
      <c r="I85" t="s">
        <v>539</v>
      </c>
      <c r="J85" t="s">
        <v>597</v>
      </c>
    </row>
    <row r="86" spans="1:10" x14ac:dyDescent="0.25">
      <c r="A86" t="s">
        <v>7</v>
      </c>
      <c r="B86" t="s">
        <v>598</v>
      </c>
      <c r="C86" t="s">
        <v>599</v>
      </c>
      <c r="D86" t="s">
        <v>165</v>
      </c>
      <c r="E86" t="s">
        <v>600</v>
      </c>
      <c r="F86" t="s">
        <v>601</v>
      </c>
      <c r="H86" t="s">
        <v>602</v>
      </c>
      <c r="I86" t="s">
        <v>134</v>
      </c>
      <c r="J86" t="s">
        <v>603</v>
      </c>
    </row>
    <row r="87" spans="1:10" x14ac:dyDescent="0.25">
      <c r="A87" t="s">
        <v>2</v>
      </c>
      <c r="B87" t="s">
        <v>604</v>
      </c>
      <c r="C87" t="s">
        <v>605</v>
      </c>
      <c r="D87" t="s">
        <v>151</v>
      </c>
      <c r="E87" t="s">
        <v>606</v>
      </c>
      <c r="F87" t="s">
        <v>607</v>
      </c>
      <c r="H87" t="s">
        <v>608</v>
      </c>
      <c r="I87" t="s">
        <v>134</v>
      </c>
      <c r="J87" t="s">
        <v>609</v>
      </c>
    </row>
    <row r="88" spans="1:10" x14ac:dyDescent="0.25">
      <c r="A88" t="s">
        <v>5</v>
      </c>
      <c r="B88" t="s">
        <v>616</v>
      </c>
      <c r="C88" t="s">
        <v>617</v>
      </c>
      <c r="D88" t="s">
        <v>151</v>
      </c>
      <c r="E88" t="s">
        <v>618</v>
      </c>
      <c r="F88" t="s">
        <v>619</v>
      </c>
      <c r="H88" t="s">
        <v>620</v>
      </c>
      <c r="I88" t="s">
        <v>621</v>
      </c>
      <c r="J88" t="s">
        <v>622</v>
      </c>
    </row>
    <row r="89" spans="1:10" x14ac:dyDescent="0.25">
      <c r="A89" t="s">
        <v>4</v>
      </c>
      <c r="B89" t="s">
        <v>623</v>
      </c>
      <c r="C89" t="s">
        <v>624</v>
      </c>
      <c r="D89" t="s">
        <v>214</v>
      </c>
      <c r="E89" t="s">
        <v>625</v>
      </c>
      <c r="F89" t="s">
        <v>626</v>
      </c>
      <c r="G89" t="s">
        <v>187</v>
      </c>
      <c r="H89" t="s">
        <v>627</v>
      </c>
      <c r="I89" t="s">
        <v>189</v>
      </c>
      <c r="J89" t="s">
        <v>628</v>
      </c>
    </row>
    <row r="90" spans="1:10" x14ac:dyDescent="0.25">
      <c r="A90" t="s">
        <v>3</v>
      </c>
      <c r="B90" t="s">
        <v>629</v>
      </c>
      <c r="C90" t="s">
        <v>630</v>
      </c>
      <c r="D90" t="s">
        <v>98</v>
      </c>
      <c r="E90" t="s">
        <v>631</v>
      </c>
      <c r="F90" t="s">
        <v>632</v>
      </c>
      <c r="G90" t="s">
        <v>359</v>
      </c>
      <c r="H90" t="s">
        <v>633</v>
      </c>
      <c r="I90" t="s">
        <v>290</v>
      </c>
      <c r="J90" t="s">
        <v>634</v>
      </c>
    </row>
    <row r="91" spans="1:10" x14ac:dyDescent="0.25">
      <c r="A91" t="s">
        <v>1</v>
      </c>
      <c r="B91" t="s">
        <v>635</v>
      </c>
      <c r="C91" t="s">
        <v>636</v>
      </c>
      <c r="D91" t="s">
        <v>637</v>
      </c>
      <c r="E91" t="s">
        <v>638</v>
      </c>
      <c r="F91" t="s">
        <v>639</v>
      </c>
      <c r="H91" t="s">
        <v>640</v>
      </c>
      <c r="I91" t="s">
        <v>621</v>
      </c>
      <c r="J91" t="s">
        <v>641</v>
      </c>
    </row>
    <row r="92" spans="1:10" x14ac:dyDescent="0.25">
      <c r="A92" t="s">
        <v>0</v>
      </c>
      <c r="B92" t="s">
        <v>642</v>
      </c>
      <c r="C92" t="s">
        <v>643</v>
      </c>
      <c r="D92" t="s">
        <v>98</v>
      </c>
      <c r="E92" t="s">
        <v>644</v>
      </c>
      <c r="F92" t="s">
        <v>645</v>
      </c>
      <c r="H92" t="s">
        <v>646</v>
      </c>
      <c r="I92" t="s">
        <v>647</v>
      </c>
      <c r="J92" t="s">
        <v>648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831"/>
  <sheetViews>
    <sheetView workbookViewId="0">
      <selection activeCell="P25" sqref="P25"/>
    </sheetView>
  </sheetViews>
  <sheetFormatPr defaultRowHeight="15" x14ac:dyDescent="0.25"/>
  <cols>
    <col min="1" max="1" width="8" bestFit="1" customWidth="1"/>
    <col min="2" max="2" width="11.42578125" bestFit="1" customWidth="1"/>
    <col min="3" max="3" width="10.7109375" bestFit="1" customWidth="1"/>
    <col min="4" max="4" width="12" bestFit="1" customWidth="1"/>
    <col min="5" max="5" width="10.7109375" customWidth="1"/>
    <col min="6" max="6" width="13.42578125" bestFit="1" customWidth="1"/>
    <col min="7" max="7" width="12.42578125" bestFit="1" customWidth="1"/>
    <col min="8" max="8" width="7.7109375" bestFit="1" customWidth="1"/>
    <col min="9" max="9" width="8.5703125" bestFit="1" customWidth="1"/>
    <col min="10" max="10" width="13.42578125" bestFit="1" customWidth="1"/>
    <col min="11" max="11" width="33.140625" bestFit="1" customWidth="1"/>
    <col min="12" max="12" width="41.7109375" bestFit="1" customWidth="1"/>
    <col min="13" max="13" width="14" bestFit="1" customWidth="1"/>
    <col min="14" max="14" width="13.7109375" bestFit="1" customWidth="1"/>
    <col min="15" max="15" width="15" bestFit="1" customWidth="1"/>
    <col min="16" max="16" width="11.85546875" bestFit="1" customWidth="1"/>
  </cols>
  <sheetData>
    <row r="1" spans="1:16" x14ac:dyDescent="0.25">
      <c r="A1" t="s">
        <v>679</v>
      </c>
      <c r="B1" t="s">
        <v>680</v>
      </c>
      <c r="C1" t="s">
        <v>681</v>
      </c>
      <c r="D1" t="s">
        <v>696</v>
      </c>
      <c r="E1" t="s">
        <v>697</v>
      </c>
      <c r="F1" t="s">
        <v>682</v>
      </c>
      <c r="G1" t="s">
        <v>671</v>
      </c>
      <c r="H1" t="s">
        <v>672</v>
      </c>
      <c r="I1" t="s">
        <v>672</v>
      </c>
      <c r="J1" t="s">
        <v>683</v>
      </c>
      <c r="K1" t="s">
        <v>673</v>
      </c>
      <c r="L1" t="s">
        <v>674</v>
      </c>
      <c r="M1" t="s">
        <v>675</v>
      </c>
      <c r="N1" t="s">
        <v>676</v>
      </c>
      <c r="O1" t="s">
        <v>677</v>
      </c>
      <c r="P1" t="s">
        <v>678</v>
      </c>
    </row>
    <row r="2" spans="1:16" x14ac:dyDescent="0.25">
      <c r="A2">
        <v>10643</v>
      </c>
      <c r="B2" t="s">
        <v>89</v>
      </c>
      <c r="C2" s="1">
        <v>35667</v>
      </c>
      <c r="D2" s="1" t="str">
        <f>TEXT(C2,"mmm")</f>
        <v>ago</v>
      </c>
      <c r="E2" s="1" t="str">
        <f>TEXT(C2,"aaa")</f>
        <v>1997</v>
      </c>
      <c r="F2" s="1">
        <v>35695</v>
      </c>
      <c r="G2" s="1">
        <v>35675</v>
      </c>
      <c r="H2">
        <v>1</v>
      </c>
      <c r="I2" t="str">
        <f>CHOOSE(H2,"UPS","USPS","DHL")</f>
        <v>UPS</v>
      </c>
      <c r="J2">
        <v>29.46</v>
      </c>
      <c r="K2" t="s">
        <v>87</v>
      </c>
      <c r="L2" t="s">
        <v>91</v>
      </c>
      <c r="M2" t="s">
        <v>92</v>
      </c>
      <c r="O2" t="s">
        <v>93</v>
      </c>
      <c r="P2" t="s">
        <v>94</v>
      </c>
    </row>
    <row r="3" spans="1:16" x14ac:dyDescent="0.25">
      <c r="A3">
        <v>10692</v>
      </c>
      <c r="B3" t="s">
        <v>89</v>
      </c>
      <c r="C3" s="1">
        <v>35706</v>
      </c>
      <c r="D3" s="1" t="str">
        <f t="shared" ref="D3:D66" si="0">TEXT(C3,"mmm")</f>
        <v>out</v>
      </c>
      <c r="E3" s="1" t="str">
        <f t="shared" ref="E3:E66" si="1">TEXT(C3,"aaa")</f>
        <v>1997</v>
      </c>
      <c r="F3" s="1">
        <v>35734</v>
      </c>
      <c r="G3" s="1">
        <v>35716</v>
      </c>
      <c r="H3">
        <v>2</v>
      </c>
      <c r="I3" t="str">
        <f t="shared" ref="I3:I66" si="2">CHOOSE(H3,"UPS","USPS","DHL")</f>
        <v>USPS</v>
      </c>
      <c r="J3">
        <v>61.02</v>
      </c>
      <c r="K3" t="s">
        <v>87</v>
      </c>
      <c r="L3" t="s">
        <v>91</v>
      </c>
      <c r="M3" t="s">
        <v>92</v>
      </c>
      <c r="O3" t="s">
        <v>93</v>
      </c>
      <c r="P3" t="s">
        <v>94</v>
      </c>
    </row>
    <row r="4" spans="1:16" x14ac:dyDescent="0.25">
      <c r="A4">
        <v>10702</v>
      </c>
      <c r="B4" t="s">
        <v>89</v>
      </c>
      <c r="C4" s="1">
        <v>35716</v>
      </c>
      <c r="D4" s="1" t="str">
        <f t="shared" si="0"/>
        <v>out</v>
      </c>
      <c r="E4" s="1" t="str">
        <f t="shared" si="1"/>
        <v>1997</v>
      </c>
      <c r="F4" s="1">
        <v>35758</v>
      </c>
      <c r="G4" s="1">
        <v>35724</v>
      </c>
      <c r="H4">
        <v>1</v>
      </c>
      <c r="I4" t="str">
        <f t="shared" si="2"/>
        <v>UPS</v>
      </c>
      <c r="J4">
        <v>23.94</v>
      </c>
      <c r="K4" t="s">
        <v>87</v>
      </c>
      <c r="L4" t="s">
        <v>91</v>
      </c>
      <c r="M4" t="s">
        <v>92</v>
      </c>
      <c r="O4" t="s">
        <v>93</v>
      </c>
      <c r="P4" t="s">
        <v>94</v>
      </c>
    </row>
    <row r="5" spans="1:16" x14ac:dyDescent="0.25">
      <c r="A5">
        <v>10835</v>
      </c>
      <c r="B5" t="s">
        <v>89</v>
      </c>
      <c r="C5" s="1">
        <v>35810</v>
      </c>
      <c r="D5" s="1" t="str">
        <f t="shared" si="0"/>
        <v>jan</v>
      </c>
      <c r="E5" s="1" t="str">
        <f t="shared" si="1"/>
        <v>1998</v>
      </c>
      <c r="F5" s="1">
        <v>35838</v>
      </c>
      <c r="G5" s="1">
        <v>35816</v>
      </c>
      <c r="H5">
        <v>3</v>
      </c>
      <c r="I5" t="str">
        <f t="shared" si="2"/>
        <v>DHL</v>
      </c>
      <c r="J5">
        <v>69.53</v>
      </c>
      <c r="K5" t="s">
        <v>87</v>
      </c>
      <c r="L5" t="s">
        <v>91</v>
      </c>
      <c r="M5" t="s">
        <v>92</v>
      </c>
      <c r="O5" t="s">
        <v>93</v>
      </c>
      <c r="P5" t="s">
        <v>94</v>
      </c>
    </row>
    <row r="6" spans="1:16" x14ac:dyDescent="0.25">
      <c r="A6">
        <v>10952</v>
      </c>
      <c r="B6" t="s">
        <v>89</v>
      </c>
      <c r="C6" s="1">
        <v>35870</v>
      </c>
      <c r="D6" s="1" t="str">
        <f t="shared" si="0"/>
        <v>mar</v>
      </c>
      <c r="E6" s="1" t="str">
        <f t="shared" si="1"/>
        <v>1998</v>
      </c>
      <c r="F6" s="1">
        <v>35912</v>
      </c>
      <c r="G6" s="1">
        <v>35878</v>
      </c>
      <c r="H6">
        <v>1</v>
      </c>
      <c r="I6" t="str">
        <f t="shared" si="2"/>
        <v>UPS</v>
      </c>
      <c r="J6">
        <v>40.42</v>
      </c>
      <c r="K6" t="s">
        <v>87</v>
      </c>
      <c r="L6" t="s">
        <v>91</v>
      </c>
      <c r="M6" t="s">
        <v>92</v>
      </c>
      <c r="O6" t="s">
        <v>93</v>
      </c>
      <c r="P6" t="s">
        <v>94</v>
      </c>
    </row>
    <row r="7" spans="1:16" x14ac:dyDescent="0.25">
      <c r="A7">
        <v>11011</v>
      </c>
      <c r="B7" t="s">
        <v>89</v>
      </c>
      <c r="C7" s="1">
        <v>35894</v>
      </c>
      <c r="D7" s="1" t="str">
        <f t="shared" si="0"/>
        <v>abr</v>
      </c>
      <c r="E7" s="1" t="str">
        <f t="shared" si="1"/>
        <v>1998</v>
      </c>
      <c r="F7" s="1">
        <v>35922</v>
      </c>
      <c r="G7" s="1">
        <v>35898</v>
      </c>
      <c r="H7">
        <v>1</v>
      </c>
      <c r="I7" t="str">
        <f t="shared" si="2"/>
        <v>UPS</v>
      </c>
      <c r="J7">
        <v>1.21</v>
      </c>
      <c r="K7" t="s">
        <v>87</v>
      </c>
      <c r="L7" t="s">
        <v>91</v>
      </c>
      <c r="M7" t="s">
        <v>92</v>
      </c>
      <c r="O7" t="s">
        <v>93</v>
      </c>
      <c r="P7" t="s">
        <v>94</v>
      </c>
    </row>
    <row r="8" spans="1:16" x14ac:dyDescent="0.25">
      <c r="A8">
        <v>10308</v>
      </c>
      <c r="B8" t="s">
        <v>96</v>
      </c>
      <c r="C8" s="1">
        <v>35326</v>
      </c>
      <c r="D8" s="1" t="str">
        <f t="shared" si="0"/>
        <v>set</v>
      </c>
      <c r="E8" s="1" t="str">
        <f t="shared" si="1"/>
        <v>1996</v>
      </c>
      <c r="F8" s="1">
        <v>35354</v>
      </c>
      <c r="G8" s="1">
        <v>35332</v>
      </c>
      <c r="H8">
        <v>3</v>
      </c>
      <c r="I8" t="str">
        <f t="shared" si="2"/>
        <v>DHL</v>
      </c>
      <c r="J8">
        <v>1.61</v>
      </c>
      <c r="K8" t="s">
        <v>86</v>
      </c>
      <c r="L8" t="s">
        <v>99</v>
      </c>
      <c r="M8" t="s">
        <v>100</v>
      </c>
      <c r="O8" t="s">
        <v>101</v>
      </c>
      <c r="P8" t="s">
        <v>102</v>
      </c>
    </row>
    <row r="9" spans="1:16" x14ac:dyDescent="0.25">
      <c r="A9">
        <v>10625</v>
      </c>
      <c r="B9" t="s">
        <v>96</v>
      </c>
      <c r="C9" s="1">
        <v>35650</v>
      </c>
      <c r="D9" s="1" t="str">
        <f t="shared" si="0"/>
        <v>ago</v>
      </c>
      <c r="E9" s="1" t="str">
        <f t="shared" si="1"/>
        <v>1997</v>
      </c>
      <c r="F9" s="1">
        <v>35678</v>
      </c>
      <c r="G9" s="1">
        <v>35656</v>
      </c>
      <c r="H9">
        <v>1</v>
      </c>
      <c r="I9" t="str">
        <f t="shared" si="2"/>
        <v>UPS</v>
      </c>
      <c r="J9">
        <v>43.9</v>
      </c>
      <c r="K9" t="s">
        <v>86</v>
      </c>
      <c r="L9" t="s">
        <v>99</v>
      </c>
      <c r="M9" t="s">
        <v>100</v>
      </c>
      <c r="O9" t="s">
        <v>101</v>
      </c>
      <c r="P9" t="s">
        <v>102</v>
      </c>
    </row>
    <row r="10" spans="1:16" x14ac:dyDescent="0.25">
      <c r="A10">
        <v>10759</v>
      </c>
      <c r="B10" t="s">
        <v>96</v>
      </c>
      <c r="C10" s="1">
        <v>35762</v>
      </c>
      <c r="D10" s="1" t="str">
        <f t="shared" si="0"/>
        <v>nov</v>
      </c>
      <c r="E10" s="1" t="str">
        <f t="shared" si="1"/>
        <v>1997</v>
      </c>
      <c r="F10" s="1">
        <v>35790</v>
      </c>
      <c r="G10" s="1">
        <v>35776</v>
      </c>
      <c r="H10">
        <v>3</v>
      </c>
      <c r="I10" t="str">
        <f t="shared" si="2"/>
        <v>DHL</v>
      </c>
      <c r="J10">
        <v>11.99</v>
      </c>
      <c r="K10" t="s">
        <v>86</v>
      </c>
      <c r="L10" t="s">
        <v>99</v>
      </c>
      <c r="M10" t="s">
        <v>100</v>
      </c>
      <c r="O10" t="s">
        <v>101</v>
      </c>
      <c r="P10" t="s">
        <v>102</v>
      </c>
    </row>
    <row r="11" spans="1:16" x14ac:dyDescent="0.25">
      <c r="A11">
        <v>10926</v>
      </c>
      <c r="B11" t="s">
        <v>96</v>
      </c>
      <c r="C11" s="1">
        <v>35858</v>
      </c>
      <c r="D11" s="1" t="str">
        <f t="shared" si="0"/>
        <v>mar</v>
      </c>
      <c r="E11" s="1" t="str">
        <f t="shared" si="1"/>
        <v>1998</v>
      </c>
      <c r="F11" s="1">
        <v>35886</v>
      </c>
      <c r="G11" s="1">
        <v>35865</v>
      </c>
      <c r="H11">
        <v>3</v>
      </c>
      <c r="I11" t="str">
        <f t="shared" si="2"/>
        <v>DHL</v>
      </c>
      <c r="J11">
        <v>39.92</v>
      </c>
      <c r="K11" t="s">
        <v>86</v>
      </c>
      <c r="L11" t="s">
        <v>99</v>
      </c>
      <c r="M11" t="s">
        <v>100</v>
      </c>
      <c r="O11" t="s">
        <v>101</v>
      </c>
      <c r="P11" t="s">
        <v>102</v>
      </c>
    </row>
    <row r="12" spans="1:16" x14ac:dyDescent="0.25">
      <c r="A12">
        <v>10365</v>
      </c>
      <c r="B12" t="s">
        <v>104</v>
      </c>
      <c r="C12" s="1">
        <v>35396</v>
      </c>
      <c r="D12" s="1" t="str">
        <f t="shared" si="0"/>
        <v>nov</v>
      </c>
      <c r="E12" s="1" t="str">
        <f t="shared" si="1"/>
        <v>1996</v>
      </c>
      <c r="F12" s="1">
        <v>35424</v>
      </c>
      <c r="G12" s="1">
        <v>35401</v>
      </c>
      <c r="H12">
        <v>2</v>
      </c>
      <c r="I12" t="str">
        <f t="shared" si="2"/>
        <v>USPS</v>
      </c>
      <c r="J12">
        <v>22</v>
      </c>
      <c r="K12" t="s">
        <v>85</v>
      </c>
      <c r="L12" t="s">
        <v>106</v>
      </c>
      <c r="M12" t="s">
        <v>100</v>
      </c>
      <c r="O12" t="s">
        <v>107</v>
      </c>
      <c r="P12" t="s">
        <v>102</v>
      </c>
    </row>
    <row r="13" spans="1:16" x14ac:dyDescent="0.25">
      <c r="A13">
        <v>10507</v>
      </c>
      <c r="B13" t="s">
        <v>104</v>
      </c>
      <c r="C13" s="1">
        <v>35535</v>
      </c>
      <c r="D13" s="1" t="str">
        <f t="shared" si="0"/>
        <v>abr</v>
      </c>
      <c r="E13" s="1" t="str">
        <f t="shared" si="1"/>
        <v>1997</v>
      </c>
      <c r="F13" s="1">
        <v>35563</v>
      </c>
      <c r="G13" s="1">
        <v>35542</v>
      </c>
      <c r="H13">
        <v>1</v>
      </c>
      <c r="I13" t="str">
        <f t="shared" si="2"/>
        <v>UPS</v>
      </c>
      <c r="J13">
        <v>47.45</v>
      </c>
      <c r="K13" t="s">
        <v>85</v>
      </c>
      <c r="L13" t="s">
        <v>106</v>
      </c>
      <c r="M13" t="s">
        <v>100</v>
      </c>
      <c r="O13" t="s">
        <v>107</v>
      </c>
      <c r="P13" t="s">
        <v>102</v>
      </c>
    </row>
    <row r="14" spans="1:16" x14ac:dyDescent="0.25">
      <c r="A14">
        <v>10535</v>
      </c>
      <c r="B14" t="s">
        <v>104</v>
      </c>
      <c r="C14" s="1">
        <v>35563</v>
      </c>
      <c r="D14" s="1" t="str">
        <f t="shared" si="0"/>
        <v>mai</v>
      </c>
      <c r="E14" s="1" t="str">
        <f t="shared" si="1"/>
        <v>1997</v>
      </c>
      <c r="F14" s="1">
        <v>35591</v>
      </c>
      <c r="G14" s="1">
        <v>35571</v>
      </c>
      <c r="H14">
        <v>1</v>
      </c>
      <c r="I14" t="str">
        <f t="shared" si="2"/>
        <v>UPS</v>
      </c>
      <c r="J14">
        <v>15.64</v>
      </c>
      <c r="K14" t="s">
        <v>85</v>
      </c>
      <c r="L14" t="s">
        <v>106</v>
      </c>
      <c r="M14" t="s">
        <v>100</v>
      </c>
      <c r="O14" t="s">
        <v>107</v>
      </c>
      <c r="P14" t="s">
        <v>102</v>
      </c>
    </row>
    <row r="15" spans="1:16" x14ac:dyDescent="0.25">
      <c r="A15">
        <v>10573</v>
      </c>
      <c r="B15" t="s">
        <v>104</v>
      </c>
      <c r="C15" s="1">
        <v>35600</v>
      </c>
      <c r="D15" s="1" t="str">
        <f t="shared" si="0"/>
        <v>jun</v>
      </c>
      <c r="E15" s="1" t="str">
        <f t="shared" si="1"/>
        <v>1997</v>
      </c>
      <c r="F15" s="1">
        <v>35628</v>
      </c>
      <c r="G15" s="1">
        <v>35601</v>
      </c>
      <c r="H15">
        <v>3</v>
      </c>
      <c r="I15" t="str">
        <f t="shared" si="2"/>
        <v>DHL</v>
      </c>
      <c r="J15">
        <v>84.84</v>
      </c>
      <c r="K15" t="s">
        <v>85</v>
      </c>
      <c r="L15" t="s">
        <v>106</v>
      </c>
      <c r="M15" t="s">
        <v>100</v>
      </c>
      <c r="O15" t="s">
        <v>107</v>
      </c>
      <c r="P15" t="s">
        <v>102</v>
      </c>
    </row>
    <row r="16" spans="1:16" x14ac:dyDescent="0.25">
      <c r="A16">
        <v>10677</v>
      </c>
      <c r="B16" t="s">
        <v>104</v>
      </c>
      <c r="C16" s="1">
        <v>35695</v>
      </c>
      <c r="D16" s="1" t="str">
        <f t="shared" si="0"/>
        <v>set</v>
      </c>
      <c r="E16" s="1" t="str">
        <f t="shared" si="1"/>
        <v>1997</v>
      </c>
      <c r="F16" s="1">
        <v>35723</v>
      </c>
      <c r="G16" s="1">
        <v>35699</v>
      </c>
      <c r="H16">
        <v>3</v>
      </c>
      <c r="I16" t="str">
        <f t="shared" si="2"/>
        <v>DHL</v>
      </c>
      <c r="J16">
        <v>4.03</v>
      </c>
      <c r="K16" t="s">
        <v>85</v>
      </c>
      <c r="L16" t="s">
        <v>106</v>
      </c>
      <c r="M16" t="s">
        <v>100</v>
      </c>
      <c r="O16" t="s">
        <v>107</v>
      </c>
      <c r="P16" t="s">
        <v>102</v>
      </c>
    </row>
    <row r="17" spans="1:16" x14ac:dyDescent="0.25">
      <c r="A17">
        <v>10682</v>
      </c>
      <c r="B17" t="s">
        <v>104</v>
      </c>
      <c r="C17" s="1">
        <v>35698</v>
      </c>
      <c r="D17" s="1" t="str">
        <f t="shared" si="0"/>
        <v>set</v>
      </c>
      <c r="E17" s="1" t="str">
        <f t="shared" si="1"/>
        <v>1997</v>
      </c>
      <c r="F17" s="1">
        <v>35726</v>
      </c>
      <c r="G17" s="1">
        <v>35704</v>
      </c>
      <c r="H17">
        <v>2</v>
      </c>
      <c r="I17" t="str">
        <f t="shared" si="2"/>
        <v>USPS</v>
      </c>
      <c r="J17">
        <v>36.130000000000003</v>
      </c>
      <c r="K17" t="s">
        <v>85</v>
      </c>
      <c r="L17" t="s">
        <v>106</v>
      </c>
      <c r="M17" t="s">
        <v>100</v>
      </c>
      <c r="O17" t="s">
        <v>107</v>
      </c>
      <c r="P17" t="s">
        <v>102</v>
      </c>
    </row>
    <row r="18" spans="1:16" x14ac:dyDescent="0.25">
      <c r="A18">
        <v>10856</v>
      </c>
      <c r="B18" t="s">
        <v>104</v>
      </c>
      <c r="C18" s="1">
        <v>35823</v>
      </c>
      <c r="D18" s="1" t="str">
        <f t="shared" si="0"/>
        <v>jan</v>
      </c>
      <c r="E18" s="1" t="str">
        <f t="shared" si="1"/>
        <v>1998</v>
      </c>
      <c r="F18" s="1">
        <v>35851</v>
      </c>
      <c r="G18" s="1">
        <v>35836</v>
      </c>
      <c r="H18">
        <v>2</v>
      </c>
      <c r="I18" t="str">
        <f t="shared" si="2"/>
        <v>USPS</v>
      </c>
      <c r="J18">
        <v>58.43</v>
      </c>
      <c r="K18" t="s">
        <v>85</v>
      </c>
      <c r="L18" t="s">
        <v>106</v>
      </c>
      <c r="M18" t="s">
        <v>100</v>
      </c>
      <c r="O18" t="s">
        <v>107</v>
      </c>
      <c r="P18" t="s">
        <v>102</v>
      </c>
    </row>
    <row r="19" spans="1:16" x14ac:dyDescent="0.25">
      <c r="A19">
        <v>10355</v>
      </c>
      <c r="B19" t="s">
        <v>109</v>
      </c>
      <c r="C19" s="1">
        <v>35384</v>
      </c>
      <c r="D19" s="1" t="str">
        <f t="shared" si="0"/>
        <v>nov</v>
      </c>
      <c r="E19" s="1" t="str">
        <f t="shared" si="1"/>
        <v>1996</v>
      </c>
      <c r="F19" s="1">
        <v>35412</v>
      </c>
      <c r="G19" s="1">
        <v>35389</v>
      </c>
      <c r="H19">
        <v>1</v>
      </c>
      <c r="I19" t="str">
        <f t="shared" si="2"/>
        <v>UPS</v>
      </c>
      <c r="J19">
        <v>41.95</v>
      </c>
      <c r="K19" t="s">
        <v>84</v>
      </c>
      <c r="L19" t="s">
        <v>659</v>
      </c>
      <c r="M19" t="s">
        <v>660</v>
      </c>
      <c r="N19" t="s">
        <v>661</v>
      </c>
      <c r="O19" t="s">
        <v>662</v>
      </c>
      <c r="P19" t="s">
        <v>113</v>
      </c>
    </row>
    <row r="20" spans="1:16" x14ac:dyDescent="0.25">
      <c r="A20">
        <v>10383</v>
      </c>
      <c r="B20" t="s">
        <v>109</v>
      </c>
      <c r="C20" s="1">
        <v>35415</v>
      </c>
      <c r="D20" s="1" t="str">
        <f t="shared" si="0"/>
        <v>dez</v>
      </c>
      <c r="E20" s="1" t="str">
        <f t="shared" si="1"/>
        <v>1996</v>
      </c>
      <c r="F20" s="1">
        <v>35443</v>
      </c>
      <c r="G20" s="1">
        <v>35417</v>
      </c>
      <c r="H20">
        <v>3</v>
      </c>
      <c r="I20" t="str">
        <f t="shared" si="2"/>
        <v>DHL</v>
      </c>
      <c r="J20">
        <v>34.24</v>
      </c>
      <c r="K20" t="s">
        <v>84</v>
      </c>
      <c r="L20" t="s">
        <v>659</v>
      </c>
      <c r="M20" t="s">
        <v>660</v>
      </c>
      <c r="N20" t="s">
        <v>661</v>
      </c>
      <c r="O20" t="s">
        <v>662</v>
      </c>
      <c r="P20" t="s">
        <v>113</v>
      </c>
    </row>
    <row r="21" spans="1:16" x14ac:dyDescent="0.25">
      <c r="A21">
        <v>10453</v>
      </c>
      <c r="B21" t="s">
        <v>109</v>
      </c>
      <c r="C21" s="1">
        <v>35482</v>
      </c>
      <c r="D21" s="1" t="str">
        <f t="shared" si="0"/>
        <v>fev</v>
      </c>
      <c r="E21" s="1" t="str">
        <f t="shared" si="1"/>
        <v>1997</v>
      </c>
      <c r="F21" s="1">
        <v>35510</v>
      </c>
      <c r="G21" s="1">
        <v>35487</v>
      </c>
      <c r="H21">
        <v>2</v>
      </c>
      <c r="I21" t="str">
        <f t="shared" si="2"/>
        <v>USPS</v>
      </c>
      <c r="J21">
        <v>25.36</v>
      </c>
      <c r="K21" t="s">
        <v>84</v>
      </c>
      <c r="L21" t="s">
        <v>659</v>
      </c>
      <c r="M21" t="s">
        <v>660</v>
      </c>
      <c r="N21" t="s">
        <v>661</v>
      </c>
      <c r="O21" t="s">
        <v>662</v>
      </c>
      <c r="P21" t="s">
        <v>113</v>
      </c>
    </row>
    <row r="22" spans="1:16" x14ac:dyDescent="0.25">
      <c r="A22">
        <v>10558</v>
      </c>
      <c r="B22" t="s">
        <v>109</v>
      </c>
      <c r="C22" s="1">
        <v>35585</v>
      </c>
      <c r="D22" s="1" t="str">
        <f t="shared" si="0"/>
        <v>jun</v>
      </c>
      <c r="E22" s="1" t="str">
        <f t="shared" si="1"/>
        <v>1997</v>
      </c>
      <c r="F22" s="1">
        <v>35613</v>
      </c>
      <c r="G22" s="1">
        <v>35591</v>
      </c>
      <c r="H22">
        <v>2</v>
      </c>
      <c r="I22" t="str">
        <f t="shared" si="2"/>
        <v>USPS</v>
      </c>
      <c r="J22">
        <v>72.97</v>
      </c>
      <c r="K22" t="s">
        <v>84</v>
      </c>
      <c r="L22" t="s">
        <v>659</v>
      </c>
      <c r="M22" t="s">
        <v>660</v>
      </c>
      <c r="N22" t="s">
        <v>661</v>
      </c>
      <c r="O22" t="s">
        <v>662</v>
      </c>
      <c r="P22" t="s">
        <v>113</v>
      </c>
    </row>
    <row r="23" spans="1:16" x14ac:dyDescent="0.25">
      <c r="A23">
        <v>10707</v>
      </c>
      <c r="B23" t="s">
        <v>109</v>
      </c>
      <c r="C23" s="1">
        <v>35719</v>
      </c>
      <c r="D23" s="1" t="str">
        <f t="shared" si="0"/>
        <v>out</v>
      </c>
      <c r="E23" s="1" t="str">
        <f t="shared" si="1"/>
        <v>1997</v>
      </c>
      <c r="F23" s="1">
        <v>35733</v>
      </c>
      <c r="G23" s="1">
        <v>35726</v>
      </c>
      <c r="H23">
        <v>3</v>
      </c>
      <c r="I23" t="str">
        <f t="shared" si="2"/>
        <v>DHL</v>
      </c>
      <c r="J23">
        <v>21.74</v>
      </c>
      <c r="K23" t="s">
        <v>84</v>
      </c>
      <c r="L23" t="s">
        <v>659</v>
      </c>
      <c r="M23" t="s">
        <v>660</v>
      </c>
      <c r="N23" t="s">
        <v>661</v>
      </c>
      <c r="O23" t="s">
        <v>662</v>
      </c>
      <c r="P23" t="s">
        <v>113</v>
      </c>
    </row>
    <row r="24" spans="1:16" x14ac:dyDescent="0.25">
      <c r="A24">
        <v>10741</v>
      </c>
      <c r="B24" t="s">
        <v>109</v>
      </c>
      <c r="C24" s="1">
        <v>35748</v>
      </c>
      <c r="D24" s="1" t="str">
        <f t="shared" si="0"/>
        <v>nov</v>
      </c>
      <c r="E24" s="1" t="str">
        <f t="shared" si="1"/>
        <v>1997</v>
      </c>
      <c r="F24" s="1">
        <v>35762</v>
      </c>
      <c r="G24" s="1">
        <v>35752</v>
      </c>
      <c r="H24">
        <v>3</v>
      </c>
      <c r="I24" t="str">
        <f t="shared" si="2"/>
        <v>DHL</v>
      </c>
      <c r="J24">
        <v>10.96</v>
      </c>
      <c r="K24" t="s">
        <v>84</v>
      </c>
      <c r="L24" t="s">
        <v>659</v>
      </c>
      <c r="M24" t="s">
        <v>660</v>
      </c>
      <c r="N24" t="s">
        <v>661</v>
      </c>
      <c r="O24" t="s">
        <v>662</v>
      </c>
      <c r="P24" t="s">
        <v>113</v>
      </c>
    </row>
    <row r="25" spans="1:16" x14ac:dyDescent="0.25">
      <c r="A25">
        <v>10743</v>
      </c>
      <c r="B25" t="s">
        <v>109</v>
      </c>
      <c r="C25" s="1">
        <v>35751</v>
      </c>
      <c r="D25" s="1" t="str">
        <f t="shared" si="0"/>
        <v>nov</v>
      </c>
      <c r="E25" s="1" t="str">
        <f t="shared" si="1"/>
        <v>1997</v>
      </c>
      <c r="F25" s="1">
        <v>35779</v>
      </c>
      <c r="G25" s="1">
        <v>35755</v>
      </c>
      <c r="H25">
        <v>2</v>
      </c>
      <c r="I25" t="str">
        <f t="shared" si="2"/>
        <v>USPS</v>
      </c>
      <c r="J25">
        <v>23.72</v>
      </c>
      <c r="K25" t="s">
        <v>84</v>
      </c>
      <c r="L25" t="s">
        <v>659</v>
      </c>
      <c r="M25" t="s">
        <v>660</v>
      </c>
      <c r="N25" t="s">
        <v>661</v>
      </c>
      <c r="O25" t="s">
        <v>662</v>
      </c>
      <c r="P25" t="s">
        <v>113</v>
      </c>
    </row>
    <row r="26" spans="1:16" x14ac:dyDescent="0.25">
      <c r="A26">
        <v>10768</v>
      </c>
      <c r="B26" t="s">
        <v>109</v>
      </c>
      <c r="C26" s="1">
        <v>35772</v>
      </c>
      <c r="D26" s="1" t="str">
        <f t="shared" si="0"/>
        <v>dez</v>
      </c>
      <c r="E26" s="1" t="str">
        <f t="shared" si="1"/>
        <v>1997</v>
      </c>
      <c r="F26" s="1">
        <v>35800</v>
      </c>
      <c r="G26" s="1">
        <v>35779</v>
      </c>
      <c r="H26">
        <v>2</v>
      </c>
      <c r="I26" t="str">
        <f t="shared" si="2"/>
        <v>USPS</v>
      </c>
      <c r="J26">
        <v>146.32</v>
      </c>
      <c r="K26" t="s">
        <v>84</v>
      </c>
      <c r="L26" t="s">
        <v>659</v>
      </c>
      <c r="M26" t="s">
        <v>660</v>
      </c>
      <c r="N26" t="s">
        <v>661</v>
      </c>
      <c r="O26" t="s">
        <v>662</v>
      </c>
      <c r="P26" t="s">
        <v>113</v>
      </c>
    </row>
    <row r="27" spans="1:16" x14ac:dyDescent="0.25">
      <c r="A27">
        <v>10793</v>
      </c>
      <c r="B27" t="s">
        <v>109</v>
      </c>
      <c r="C27" s="1">
        <v>35788</v>
      </c>
      <c r="D27" s="1" t="str">
        <f t="shared" si="0"/>
        <v>dez</v>
      </c>
      <c r="E27" s="1" t="str">
        <f t="shared" si="1"/>
        <v>1997</v>
      </c>
      <c r="F27" s="1">
        <v>35816</v>
      </c>
      <c r="G27" s="1">
        <v>35803</v>
      </c>
      <c r="H27">
        <v>3</v>
      </c>
      <c r="I27" t="str">
        <f t="shared" si="2"/>
        <v>DHL</v>
      </c>
      <c r="J27">
        <v>4.5199999999999996</v>
      </c>
      <c r="K27" t="s">
        <v>84</v>
      </c>
      <c r="L27" t="s">
        <v>659</v>
      </c>
      <c r="M27" t="s">
        <v>660</v>
      </c>
      <c r="N27" t="s">
        <v>661</v>
      </c>
      <c r="O27" t="s">
        <v>662</v>
      </c>
      <c r="P27" t="s">
        <v>113</v>
      </c>
    </row>
    <row r="28" spans="1:16" x14ac:dyDescent="0.25">
      <c r="A28">
        <v>10864</v>
      </c>
      <c r="B28" t="s">
        <v>109</v>
      </c>
      <c r="C28" s="1">
        <v>35828</v>
      </c>
      <c r="D28" s="1" t="str">
        <f t="shared" si="0"/>
        <v>fev</v>
      </c>
      <c r="E28" s="1" t="str">
        <f t="shared" si="1"/>
        <v>1998</v>
      </c>
      <c r="F28" s="1">
        <v>35856</v>
      </c>
      <c r="G28" s="1">
        <v>35835</v>
      </c>
      <c r="H28">
        <v>2</v>
      </c>
      <c r="I28" t="str">
        <f t="shared" si="2"/>
        <v>USPS</v>
      </c>
      <c r="J28">
        <v>3.04</v>
      </c>
      <c r="K28" t="s">
        <v>84</v>
      </c>
      <c r="L28" t="s">
        <v>659</v>
      </c>
      <c r="M28" t="s">
        <v>660</v>
      </c>
      <c r="N28" t="s">
        <v>661</v>
      </c>
      <c r="O28" t="s">
        <v>662</v>
      </c>
      <c r="P28" t="s">
        <v>113</v>
      </c>
    </row>
    <row r="29" spans="1:16" x14ac:dyDescent="0.25">
      <c r="A29">
        <v>10920</v>
      </c>
      <c r="B29" t="s">
        <v>109</v>
      </c>
      <c r="C29" s="1">
        <v>35857</v>
      </c>
      <c r="D29" s="1" t="str">
        <f t="shared" si="0"/>
        <v>mar</v>
      </c>
      <c r="E29" s="1" t="str">
        <f t="shared" si="1"/>
        <v>1998</v>
      </c>
      <c r="F29" s="1">
        <v>35885</v>
      </c>
      <c r="G29" s="1">
        <v>35863</v>
      </c>
      <c r="H29">
        <v>2</v>
      </c>
      <c r="I29" t="str">
        <f t="shared" si="2"/>
        <v>USPS</v>
      </c>
      <c r="J29">
        <v>29.61</v>
      </c>
      <c r="K29" t="s">
        <v>84</v>
      </c>
      <c r="L29" t="s">
        <v>659</v>
      </c>
      <c r="M29" t="s">
        <v>660</v>
      </c>
      <c r="N29" t="s">
        <v>661</v>
      </c>
      <c r="O29" t="s">
        <v>662</v>
      </c>
      <c r="P29" t="s">
        <v>113</v>
      </c>
    </row>
    <row r="30" spans="1:16" x14ac:dyDescent="0.25">
      <c r="A30">
        <v>10953</v>
      </c>
      <c r="B30" t="s">
        <v>109</v>
      </c>
      <c r="C30" s="1">
        <v>35870</v>
      </c>
      <c r="D30" s="1" t="str">
        <f t="shared" si="0"/>
        <v>mar</v>
      </c>
      <c r="E30" s="1" t="str">
        <f t="shared" si="1"/>
        <v>1998</v>
      </c>
      <c r="F30" s="1">
        <v>35884</v>
      </c>
      <c r="G30" s="1">
        <v>35879</v>
      </c>
      <c r="H30">
        <v>2</v>
      </c>
      <c r="I30" t="str">
        <f t="shared" si="2"/>
        <v>USPS</v>
      </c>
      <c r="J30">
        <v>23.72</v>
      </c>
      <c r="K30" t="s">
        <v>84</v>
      </c>
      <c r="L30" t="s">
        <v>659</v>
      </c>
      <c r="M30" t="s">
        <v>660</v>
      </c>
      <c r="N30" t="s">
        <v>661</v>
      </c>
      <c r="O30" t="s">
        <v>662</v>
      </c>
      <c r="P30" t="s">
        <v>113</v>
      </c>
    </row>
    <row r="31" spans="1:16" x14ac:dyDescent="0.25">
      <c r="A31">
        <v>11016</v>
      </c>
      <c r="B31" t="s">
        <v>109</v>
      </c>
      <c r="C31" s="1">
        <v>35895</v>
      </c>
      <c r="D31" s="1" t="str">
        <f t="shared" si="0"/>
        <v>abr</v>
      </c>
      <c r="E31" s="1" t="str">
        <f t="shared" si="1"/>
        <v>1998</v>
      </c>
      <c r="F31" s="1">
        <v>35923</v>
      </c>
      <c r="G31" s="1">
        <v>35898</v>
      </c>
      <c r="H31">
        <v>2</v>
      </c>
      <c r="I31" t="str">
        <f t="shared" si="2"/>
        <v>USPS</v>
      </c>
      <c r="J31">
        <v>33.799999999999997</v>
      </c>
      <c r="K31" t="s">
        <v>84</v>
      </c>
      <c r="L31" t="s">
        <v>659</v>
      </c>
      <c r="M31" t="s">
        <v>660</v>
      </c>
      <c r="N31" t="s">
        <v>661</v>
      </c>
      <c r="O31" t="s">
        <v>662</v>
      </c>
      <c r="P31" t="s">
        <v>113</v>
      </c>
    </row>
    <row r="32" spans="1:16" x14ac:dyDescent="0.25">
      <c r="A32">
        <v>10278</v>
      </c>
      <c r="B32" t="s">
        <v>115</v>
      </c>
      <c r="C32" s="1">
        <v>35289</v>
      </c>
      <c r="D32" s="1" t="str">
        <f t="shared" si="0"/>
        <v>ago</v>
      </c>
      <c r="E32" s="1" t="str">
        <f t="shared" si="1"/>
        <v>1996</v>
      </c>
      <c r="F32" s="1">
        <v>35317</v>
      </c>
      <c r="G32" s="1">
        <v>35293</v>
      </c>
      <c r="H32">
        <v>2</v>
      </c>
      <c r="I32" t="str">
        <f t="shared" si="2"/>
        <v>USPS</v>
      </c>
      <c r="J32">
        <v>92.69</v>
      </c>
      <c r="K32" t="s">
        <v>83</v>
      </c>
      <c r="L32" t="s">
        <v>118</v>
      </c>
      <c r="M32" t="s">
        <v>119</v>
      </c>
      <c r="O32" t="s">
        <v>120</v>
      </c>
      <c r="P32" t="s">
        <v>121</v>
      </c>
    </row>
    <row r="33" spans="1:16" x14ac:dyDescent="0.25">
      <c r="A33">
        <v>10280</v>
      </c>
      <c r="B33" t="s">
        <v>115</v>
      </c>
      <c r="C33" s="1">
        <v>35291</v>
      </c>
      <c r="D33" s="1" t="str">
        <f t="shared" si="0"/>
        <v>ago</v>
      </c>
      <c r="E33" s="1" t="str">
        <f t="shared" si="1"/>
        <v>1996</v>
      </c>
      <c r="F33" s="1">
        <v>35319</v>
      </c>
      <c r="G33" s="1">
        <v>35320</v>
      </c>
      <c r="H33">
        <v>1</v>
      </c>
      <c r="I33" t="str">
        <f t="shared" si="2"/>
        <v>UPS</v>
      </c>
      <c r="J33">
        <v>8.98</v>
      </c>
      <c r="K33" t="s">
        <v>83</v>
      </c>
      <c r="L33" t="s">
        <v>118</v>
      </c>
      <c r="M33" t="s">
        <v>119</v>
      </c>
      <c r="O33" t="s">
        <v>120</v>
      </c>
      <c r="P33" t="s">
        <v>121</v>
      </c>
    </row>
    <row r="34" spans="1:16" x14ac:dyDescent="0.25">
      <c r="A34">
        <v>10384</v>
      </c>
      <c r="B34" t="s">
        <v>115</v>
      </c>
      <c r="C34" s="1">
        <v>35415</v>
      </c>
      <c r="D34" s="1" t="str">
        <f t="shared" si="0"/>
        <v>dez</v>
      </c>
      <c r="E34" s="1" t="str">
        <f t="shared" si="1"/>
        <v>1996</v>
      </c>
      <c r="F34" s="1">
        <v>35443</v>
      </c>
      <c r="G34" s="1">
        <v>35419</v>
      </c>
      <c r="H34">
        <v>3</v>
      </c>
      <c r="I34" t="str">
        <f t="shared" si="2"/>
        <v>DHL</v>
      </c>
      <c r="J34">
        <v>168.64</v>
      </c>
      <c r="K34" t="s">
        <v>83</v>
      </c>
      <c r="L34" t="s">
        <v>118</v>
      </c>
      <c r="M34" t="s">
        <v>119</v>
      </c>
      <c r="O34" t="s">
        <v>120</v>
      </c>
      <c r="P34" t="s">
        <v>121</v>
      </c>
    </row>
    <row r="35" spans="1:16" x14ac:dyDescent="0.25">
      <c r="A35">
        <v>10444</v>
      </c>
      <c r="B35" t="s">
        <v>115</v>
      </c>
      <c r="C35" s="1">
        <v>35473</v>
      </c>
      <c r="D35" s="1" t="str">
        <f t="shared" si="0"/>
        <v>fev</v>
      </c>
      <c r="E35" s="1" t="str">
        <f t="shared" si="1"/>
        <v>1997</v>
      </c>
      <c r="F35" s="1">
        <v>35501</v>
      </c>
      <c r="G35" s="1">
        <v>35482</v>
      </c>
      <c r="H35">
        <v>3</v>
      </c>
      <c r="I35" t="str">
        <f t="shared" si="2"/>
        <v>DHL</v>
      </c>
      <c r="J35">
        <v>3.5</v>
      </c>
      <c r="K35" t="s">
        <v>83</v>
      </c>
      <c r="L35" t="s">
        <v>118</v>
      </c>
      <c r="M35" t="s">
        <v>119</v>
      </c>
      <c r="O35" t="s">
        <v>120</v>
      </c>
      <c r="P35" t="s">
        <v>121</v>
      </c>
    </row>
    <row r="36" spans="1:16" x14ac:dyDescent="0.25">
      <c r="A36">
        <v>10445</v>
      </c>
      <c r="B36" t="s">
        <v>115</v>
      </c>
      <c r="C36" s="1">
        <v>35474</v>
      </c>
      <c r="D36" s="1" t="str">
        <f t="shared" si="0"/>
        <v>fev</v>
      </c>
      <c r="E36" s="1" t="str">
        <f t="shared" si="1"/>
        <v>1997</v>
      </c>
      <c r="F36" s="1">
        <v>35502</v>
      </c>
      <c r="G36" s="1">
        <v>35481</v>
      </c>
      <c r="H36">
        <v>1</v>
      </c>
      <c r="I36" t="str">
        <f t="shared" si="2"/>
        <v>UPS</v>
      </c>
      <c r="J36">
        <v>9.3000000000000007</v>
      </c>
      <c r="K36" t="s">
        <v>83</v>
      </c>
      <c r="L36" t="s">
        <v>118</v>
      </c>
      <c r="M36" t="s">
        <v>119</v>
      </c>
      <c r="O36" t="s">
        <v>120</v>
      </c>
      <c r="P36" t="s">
        <v>121</v>
      </c>
    </row>
    <row r="37" spans="1:16" x14ac:dyDescent="0.25">
      <c r="A37">
        <v>10524</v>
      </c>
      <c r="B37" t="s">
        <v>115</v>
      </c>
      <c r="C37" s="1">
        <v>35551</v>
      </c>
      <c r="D37" s="1" t="str">
        <f t="shared" si="0"/>
        <v>mai</v>
      </c>
      <c r="E37" s="1" t="str">
        <f t="shared" si="1"/>
        <v>1997</v>
      </c>
      <c r="F37" s="1">
        <v>35579</v>
      </c>
      <c r="G37" s="1">
        <v>35557</v>
      </c>
      <c r="H37">
        <v>2</v>
      </c>
      <c r="I37" t="str">
        <f t="shared" si="2"/>
        <v>USPS</v>
      </c>
      <c r="J37">
        <v>244.79</v>
      </c>
      <c r="K37" t="s">
        <v>83</v>
      </c>
      <c r="L37" t="s">
        <v>118</v>
      </c>
      <c r="M37" t="s">
        <v>119</v>
      </c>
      <c r="O37" t="s">
        <v>120</v>
      </c>
      <c r="P37" t="s">
        <v>121</v>
      </c>
    </row>
    <row r="38" spans="1:16" x14ac:dyDescent="0.25">
      <c r="A38">
        <v>10572</v>
      </c>
      <c r="B38" t="s">
        <v>115</v>
      </c>
      <c r="C38" s="1">
        <v>35599</v>
      </c>
      <c r="D38" s="1" t="str">
        <f t="shared" si="0"/>
        <v>jun</v>
      </c>
      <c r="E38" s="1" t="str">
        <f t="shared" si="1"/>
        <v>1997</v>
      </c>
      <c r="F38" s="1">
        <v>35627</v>
      </c>
      <c r="G38" s="1">
        <v>35606</v>
      </c>
      <c r="H38">
        <v>2</v>
      </c>
      <c r="I38" t="str">
        <f t="shared" si="2"/>
        <v>USPS</v>
      </c>
      <c r="J38">
        <v>116.43</v>
      </c>
      <c r="K38" t="s">
        <v>83</v>
      </c>
      <c r="L38" t="s">
        <v>118</v>
      </c>
      <c r="M38" t="s">
        <v>119</v>
      </c>
      <c r="O38" t="s">
        <v>120</v>
      </c>
      <c r="P38" t="s">
        <v>121</v>
      </c>
    </row>
    <row r="39" spans="1:16" x14ac:dyDescent="0.25">
      <c r="A39">
        <v>10626</v>
      </c>
      <c r="B39" t="s">
        <v>115</v>
      </c>
      <c r="C39" s="1">
        <v>35653</v>
      </c>
      <c r="D39" s="1" t="str">
        <f t="shared" si="0"/>
        <v>ago</v>
      </c>
      <c r="E39" s="1" t="str">
        <f t="shared" si="1"/>
        <v>1997</v>
      </c>
      <c r="F39" s="1">
        <v>35681</v>
      </c>
      <c r="G39" s="1">
        <v>35662</v>
      </c>
      <c r="H39">
        <v>2</v>
      </c>
      <c r="I39" t="str">
        <f t="shared" si="2"/>
        <v>USPS</v>
      </c>
      <c r="J39">
        <v>138.69</v>
      </c>
      <c r="K39" t="s">
        <v>83</v>
      </c>
      <c r="L39" t="s">
        <v>118</v>
      </c>
      <c r="M39" t="s">
        <v>119</v>
      </c>
      <c r="O39" t="s">
        <v>120</v>
      </c>
      <c r="P39" t="s">
        <v>121</v>
      </c>
    </row>
    <row r="40" spans="1:16" x14ac:dyDescent="0.25">
      <c r="A40">
        <v>10654</v>
      </c>
      <c r="B40" t="s">
        <v>115</v>
      </c>
      <c r="C40" s="1">
        <v>35675</v>
      </c>
      <c r="D40" s="1" t="str">
        <f t="shared" si="0"/>
        <v>set</v>
      </c>
      <c r="E40" s="1" t="str">
        <f t="shared" si="1"/>
        <v>1997</v>
      </c>
      <c r="F40" s="1">
        <v>35703</v>
      </c>
      <c r="G40" s="1">
        <v>35684</v>
      </c>
      <c r="H40">
        <v>1</v>
      </c>
      <c r="I40" t="str">
        <f t="shared" si="2"/>
        <v>UPS</v>
      </c>
      <c r="J40">
        <v>55.26</v>
      </c>
      <c r="K40" t="s">
        <v>83</v>
      </c>
      <c r="L40" t="s">
        <v>118</v>
      </c>
      <c r="M40" t="s">
        <v>119</v>
      </c>
      <c r="O40" t="s">
        <v>120</v>
      </c>
      <c r="P40" t="s">
        <v>121</v>
      </c>
    </row>
    <row r="41" spans="1:16" x14ac:dyDescent="0.25">
      <c r="A41">
        <v>10672</v>
      </c>
      <c r="B41" t="s">
        <v>115</v>
      </c>
      <c r="C41" s="1">
        <v>35690</v>
      </c>
      <c r="D41" s="1" t="str">
        <f t="shared" si="0"/>
        <v>set</v>
      </c>
      <c r="E41" s="1" t="str">
        <f t="shared" si="1"/>
        <v>1997</v>
      </c>
      <c r="F41" s="1">
        <v>35704</v>
      </c>
      <c r="G41" s="1">
        <v>35699</v>
      </c>
      <c r="H41">
        <v>2</v>
      </c>
      <c r="I41" t="str">
        <f t="shared" si="2"/>
        <v>USPS</v>
      </c>
      <c r="J41">
        <v>95.75</v>
      </c>
      <c r="K41" t="s">
        <v>83</v>
      </c>
      <c r="L41" t="s">
        <v>118</v>
      </c>
      <c r="M41" t="s">
        <v>119</v>
      </c>
      <c r="O41" t="s">
        <v>120</v>
      </c>
      <c r="P41" t="s">
        <v>121</v>
      </c>
    </row>
    <row r="42" spans="1:16" x14ac:dyDescent="0.25">
      <c r="A42">
        <v>10689</v>
      </c>
      <c r="B42" t="s">
        <v>115</v>
      </c>
      <c r="C42" s="1">
        <v>35704</v>
      </c>
      <c r="D42" s="1" t="str">
        <f t="shared" si="0"/>
        <v>out</v>
      </c>
      <c r="E42" s="1" t="str">
        <f t="shared" si="1"/>
        <v>1997</v>
      </c>
      <c r="F42" s="1">
        <v>35732</v>
      </c>
      <c r="G42" s="1">
        <v>35710</v>
      </c>
      <c r="H42">
        <v>2</v>
      </c>
      <c r="I42" t="str">
        <f t="shared" si="2"/>
        <v>USPS</v>
      </c>
      <c r="J42">
        <v>13.42</v>
      </c>
      <c r="K42" t="s">
        <v>83</v>
      </c>
      <c r="L42" t="s">
        <v>118</v>
      </c>
      <c r="M42" t="s">
        <v>119</v>
      </c>
      <c r="O42" t="s">
        <v>120</v>
      </c>
      <c r="P42" t="s">
        <v>121</v>
      </c>
    </row>
    <row r="43" spans="1:16" x14ac:dyDescent="0.25">
      <c r="A43">
        <v>10733</v>
      </c>
      <c r="B43" t="s">
        <v>115</v>
      </c>
      <c r="C43" s="1">
        <v>35741</v>
      </c>
      <c r="D43" s="1" t="str">
        <f t="shared" si="0"/>
        <v>nov</v>
      </c>
      <c r="E43" s="1" t="str">
        <f t="shared" si="1"/>
        <v>1997</v>
      </c>
      <c r="F43" s="1">
        <v>35769</v>
      </c>
      <c r="G43" s="1">
        <v>35744</v>
      </c>
      <c r="H43">
        <v>3</v>
      </c>
      <c r="I43" t="str">
        <f t="shared" si="2"/>
        <v>DHL</v>
      </c>
      <c r="J43">
        <v>110.11</v>
      </c>
      <c r="K43" t="s">
        <v>83</v>
      </c>
      <c r="L43" t="s">
        <v>118</v>
      </c>
      <c r="M43" t="s">
        <v>119</v>
      </c>
      <c r="O43" t="s">
        <v>120</v>
      </c>
      <c r="P43" t="s">
        <v>121</v>
      </c>
    </row>
    <row r="44" spans="1:16" x14ac:dyDescent="0.25">
      <c r="A44">
        <v>10778</v>
      </c>
      <c r="B44" t="s">
        <v>115</v>
      </c>
      <c r="C44" s="1">
        <v>35780</v>
      </c>
      <c r="D44" s="1" t="str">
        <f t="shared" si="0"/>
        <v>dez</v>
      </c>
      <c r="E44" s="1" t="str">
        <f t="shared" si="1"/>
        <v>1997</v>
      </c>
      <c r="F44" s="1">
        <v>35808</v>
      </c>
      <c r="G44" s="1">
        <v>35788</v>
      </c>
      <c r="H44">
        <v>1</v>
      </c>
      <c r="I44" t="str">
        <f t="shared" si="2"/>
        <v>UPS</v>
      </c>
      <c r="J44">
        <v>6.79</v>
      </c>
      <c r="K44" t="s">
        <v>83</v>
      </c>
      <c r="L44" t="s">
        <v>118</v>
      </c>
      <c r="M44" t="s">
        <v>119</v>
      </c>
      <c r="O44" t="s">
        <v>120</v>
      </c>
      <c r="P44" t="s">
        <v>121</v>
      </c>
    </row>
    <row r="45" spans="1:16" x14ac:dyDescent="0.25">
      <c r="A45">
        <v>10837</v>
      </c>
      <c r="B45" t="s">
        <v>115</v>
      </c>
      <c r="C45" s="1">
        <v>35811</v>
      </c>
      <c r="D45" s="1" t="str">
        <f t="shared" si="0"/>
        <v>jan</v>
      </c>
      <c r="E45" s="1" t="str">
        <f t="shared" si="1"/>
        <v>1998</v>
      </c>
      <c r="F45" s="1">
        <v>35839</v>
      </c>
      <c r="G45" s="1">
        <v>35818</v>
      </c>
      <c r="H45">
        <v>3</v>
      </c>
      <c r="I45" t="str">
        <f t="shared" si="2"/>
        <v>DHL</v>
      </c>
      <c r="J45">
        <v>13.32</v>
      </c>
      <c r="K45" t="s">
        <v>83</v>
      </c>
      <c r="L45" t="s">
        <v>118</v>
      </c>
      <c r="M45" t="s">
        <v>119</v>
      </c>
      <c r="O45" t="s">
        <v>120</v>
      </c>
      <c r="P45" t="s">
        <v>121</v>
      </c>
    </row>
    <row r="46" spans="1:16" x14ac:dyDescent="0.25">
      <c r="A46">
        <v>10857</v>
      </c>
      <c r="B46" t="s">
        <v>115</v>
      </c>
      <c r="C46" s="1">
        <v>35823</v>
      </c>
      <c r="D46" s="1" t="str">
        <f t="shared" si="0"/>
        <v>jan</v>
      </c>
      <c r="E46" s="1" t="str">
        <f t="shared" si="1"/>
        <v>1998</v>
      </c>
      <c r="F46" s="1">
        <v>35851</v>
      </c>
      <c r="G46" s="1">
        <v>35832</v>
      </c>
      <c r="H46">
        <v>2</v>
      </c>
      <c r="I46" t="str">
        <f t="shared" si="2"/>
        <v>USPS</v>
      </c>
      <c r="J46">
        <v>188.85</v>
      </c>
      <c r="K46" t="s">
        <v>83</v>
      </c>
      <c r="L46" t="s">
        <v>118</v>
      </c>
      <c r="M46" t="s">
        <v>119</v>
      </c>
      <c r="O46" t="s">
        <v>120</v>
      </c>
      <c r="P46" t="s">
        <v>121</v>
      </c>
    </row>
    <row r="47" spans="1:16" x14ac:dyDescent="0.25">
      <c r="A47">
        <v>10866</v>
      </c>
      <c r="B47" t="s">
        <v>115</v>
      </c>
      <c r="C47" s="1">
        <v>35829</v>
      </c>
      <c r="D47" s="1" t="str">
        <f t="shared" si="0"/>
        <v>fev</v>
      </c>
      <c r="E47" s="1" t="str">
        <f t="shared" si="1"/>
        <v>1998</v>
      </c>
      <c r="F47" s="1">
        <v>35857</v>
      </c>
      <c r="G47" s="1">
        <v>35838</v>
      </c>
      <c r="H47">
        <v>1</v>
      </c>
      <c r="I47" t="str">
        <f t="shared" si="2"/>
        <v>UPS</v>
      </c>
      <c r="J47">
        <v>109.11</v>
      </c>
      <c r="K47" t="s">
        <v>83</v>
      </c>
      <c r="L47" t="s">
        <v>118</v>
      </c>
      <c r="M47" t="s">
        <v>119</v>
      </c>
      <c r="O47" t="s">
        <v>120</v>
      </c>
      <c r="P47" t="s">
        <v>121</v>
      </c>
    </row>
    <row r="48" spans="1:16" x14ac:dyDescent="0.25">
      <c r="A48">
        <v>10875</v>
      </c>
      <c r="B48" t="s">
        <v>115</v>
      </c>
      <c r="C48" s="1">
        <v>35832</v>
      </c>
      <c r="D48" s="1" t="str">
        <f t="shared" si="0"/>
        <v>fev</v>
      </c>
      <c r="E48" s="1" t="str">
        <f t="shared" si="1"/>
        <v>1998</v>
      </c>
      <c r="F48" s="1">
        <v>35860</v>
      </c>
      <c r="G48" s="1">
        <v>35857</v>
      </c>
      <c r="H48">
        <v>2</v>
      </c>
      <c r="I48" t="str">
        <f t="shared" si="2"/>
        <v>USPS</v>
      </c>
      <c r="J48">
        <v>32.369999999999997</v>
      </c>
      <c r="K48" t="s">
        <v>83</v>
      </c>
      <c r="L48" t="s">
        <v>118</v>
      </c>
      <c r="M48" t="s">
        <v>119</v>
      </c>
      <c r="O48" t="s">
        <v>120</v>
      </c>
      <c r="P48" t="s">
        <v>121</v>
      </c>
    </row>
    <row r="49" spans="1:16" x14ac:dyDescent="0.25">
      <c r="A49">
        <v>10924</v>
      </c>
      <c r="B49" t="s">
        <v>115</v>
      </c>
      <c r="C49" s="1">
        <v>35858</v>
      </c>
      <c r="D49" s="1" t="str">
        <f t="shared" si="0"/>
        <v>mar</v>
      </c>
      <c r="E49" s="1" t="str">
        <f t="shared" si="1"/>
        <v>1998</v>
      </c>
      <c r="F49" s="1">
        <v>35886</v>
      </c>
      <c r="G49" s="1">
        <v>35893</v>
      </c>
      <c r="H49">
        <v>2</v>
      </c>
      <c r="I49" t="str">
        <f t="shared" si="2"/>
        <v>USPS</v>
      </c>
      <c r="J49">
        <v>151.52000000000001</v>
      </c>
      <c r="K49" t="s">
        <v>83</v>
      </c>
      <c r="L49" t="s">
        <v>118</v>
      </c>
      <c r="M49" t="s">
        <v>119</v>
      </c>
      <c r="O49" t="s">
        <v>120</v>
      </c>
      <c r="P49" t="s">
        <v>121</v>
      </c>
    </row>
    <row r="50" spans="1:16" x14ac:dyDescent="0.25">
      <c r="A50">
        <v>10501</v>
      </c>
      <c r="B50" t="s">
        <v>123</v>
      </c>
      <c r="C50" s="1">
        <v>35529</v>
      </c>
      <c r="D50" s="1" t="str">
        <f t="shared" si="0"/>
        <v>abr</v>
      </c>
      <c r="E50" s="1" t="str">
        <f t="shared" si="1"/>
        <v>1997</v>
      </c>
      <c r="F50" s="1">
        <v>35557</v>
      </c>
      <c r="G50" s="1">
        <v>35536</v>
      </c>
      <c r="H50">
        <v>3</v>
      </c>
      <c r="I50" t="str">
        <f t="shared" si="2"/>
        <v>DHL</v>
      </c>
      <c r="J50">
        <v>8.85</v>
      </c>
      <c r="K50" t="s">
        <v>82</v>
      </c>
      <c r="L50" t="s">
        <v>124</v>
      </c>
      <c r="M50" t="s">
        <v>125</v>
      </c>
      <c r="O50" t="s">
        <v>126</v>
      </c>
      <c r="P50" t="s">
        <v>94</v>
      </c>
    </row>
    <row r="51" spans="1:16" x14ac:dyDescent="0.25">
      <c r="A51">
        <v>10509</v>
      </c>
      <c r="B51" t="s">
        <v>123</v>
      </c>
      <c r="C51" s="1">
        <v>35537</v>
      </c>
      <c r="D51" s="1" t="str">
        <f t="shared" si="0"/>
        <v>abr</v>
      </c>
      <c r="E51" s="1" t="str">
        <f t="shared" si="1"/>
        <v>1997</v>
      </c>
      <c r="F51" s="1">
        <v>35565</v>
      </c>
      <c r="G51" s="1">
        <v>35549</v>
      </c>
      <c r="H51">
        <v>1</v>
      </c>
      <c r="I51" t="str">
        <f t="shared" si="2"/>
        <v>UPS</v>
      </c>
      <c r="J51">
        <v>0.15</v>
      </c>
      <c r="K51" t="s">
        <v>82</v>
      </c>
      <c r="L51" t="s">
        <v>124</v>
      </c>
      <c r="M51" t="s">
        <v>125</v>
      </c>
      <c r="O51" t="s">
        <v>126</v>
      </c>
      <c r="P51" t="s">
        <v>94</v>
      </c>
    </row>
    <row r="52" spans="1:16" x14ac:dyDescent="0.25">
      <c r="A52">
        <v>10582</v>
      </c>
      <c r="B52" t="s">
        <v>123</v>
      </c>
      <c r="C52" s="1">
        <v>35608</v>
      </c>
      <c r="D52" s="1" t="str">
        <f t="shared" si="0"/>
        <v>jun</v>
      </c>
      <c r="E52" s="1" t="str">
        <f t="shared" si="1"/>
        <v>1997</v>
      </c>
      <c r="F52" s="1">
        <v>35636</v>
      </c>
      <c r="G52" s="1">
        <v>35625</v>
      </c>
      <c r="H52">
        <v>2</v>
      </c>
      <c r="I52" t="str">
        <f t="shared" si="2"/>
        <v>USPS</v>
      </c>
      <c r="J52">
        <v>27.71</v>
      </c>
      <c r="K52" t="s">
        <v>82</v>
      </c>
      <c r="L52" t="s">
        <v>124</v>
      </c>
      <c r="M52" t="s">
        <v>125</v>
      </c>
      <c r="O52" t="s">
        <v>126</v>
      </c>
      <c r="P52" t="s">
        <v>94</v>
      </c>
    </row>
    <row r="53" spans="1:16" x14ac:dyDescent="0.25">
      <c r="A53">
        <v>10614</v>
      </c>
      <c r="B53" t="s">
        <v>123</v>
      </c>
      <c r="C53" s="1">
        <v>35640</v>
      </c>
      <c r="D53" s="1" t="str">
        <f t="shared" si="0"/>
        <v>jul</v>
      </c>
      <c r="E53" s="1" t="str">
        <f t="shared" si="1"/>
        <v>1997</v>
      </c>
      <c r="F53" s="1">
        <v>35668</v>
      </c>
      <c r="G53" s="1">
        <v>35643</v>
      </c>
      <c r="H53">
        <v>3</v>
      </c>
      <c r="I53" t="str">
        <f t="shared" si="2"/>
        <v>DHL</v>
      </c>
      <c r="J53">
        <v>1.93</v>
      </c>
      <c r="K53" t="s">
        <v>82</v>
      </c>
      <c r="L53" t="s">
        <v>124</v>
      </c>
      <c r="M53" t="s">
        <v>125</v>
      </c>
      <c r="O53" t="s">
        <v>126</v>
      </c>
      <c r="P53" t="s">
        <v>94</v>
      </c>
    </row>
    <row r="54" spans="1:16" x14ac:dyDescent="0.25">
      <c r="A54">
        <v>10853</v>
      </c>
      <c r="B54" t="s">
        <v>123</v>
      </c>
      <c r="C54" s="1">
        <v>35822</v>
      </c>
      <c r="D54" s="1" t="str">
        <f t="shared" si="0"/>
        <v>jan</v>
      </c>
      <c r="E54" s="1" t="str">
        <f t="shared" si="1"/>
        <v>1998</v>
      </c>
      <c r="F54" s="1">
        <v>35850</v>
      </c>
      <c r="G54" s="1">
        <v>35829</v>
      </c>
      <c r="H54">
        <v>2</v>
      </c>
      <c r="I54" t="str">
        <f t="shared" si="2"/>
        <v>USPS</v>
      </c>
      <c r="J54">
        <v>53.83</v>
      </c>
      <c r="K54" t="s">
        <v>82</v>
      </c>
      <c r="L54" t="s">
        <v>124</v>
      </c>
      <c r="M54" t="s">
        <v>125</v>
      </c>
      <c r="O54" t="s">
        <v>126</v>
      </c>
      <c r="P54" t="s">
        <v>94</v>
      </c>
    </row>
    <row r="55" spans="1:16" x14ac:dyDescent="0.25">
      <c r="A55">
        <v>10956</v>
      </c>
      <c r="B55" t="s">
        <v>123</v>
      </c>
      <c r="C55" s="1">
        <v>35871</v>
      </c>
      <c r="D55" s="1" t="str">
        <f t="shared" si="0"/>
        <v>mar</v>
      </c>
      <c r="E55" s="1" t="str">
        <f t="shared" si="1"/>
        <v>1998</v>
      </c>
      <c r="F55" s="1">
        <v>35913</v>
      </c>
      <c r="G55" s="1">
        <v>35874</v>
      </c>
      <c r="H55">
        <v>2</v>
      </c>
      <c r="I55" t="str">
        <f t="shared" si="2"/>
        <v>USPS</v>
      </c>
      <c r="J55">
        <v>44.65</v>
      </c>
      <c r="K55" t="s">
        <v>82</v>
      </c>
      <c r="L55" t="s">
        <v>124</v>
      </c>
      <c r="M55" t="s">
        <v>125</v>
      </c>
      <c r="O55" t="s">
        <v>126</v>
      </c>
      <c r="P55" t="s">
        <v>94</v>
      </c>
    </row>
    <row r="56" spans="1:16" x14ac:dyDescent="0.25">
      <c r="A56">
        <v>11058</v>
      </c>
      <c r="B56" t="s">
        <v>123</v>
      </c>
      <c r="C56" s="1">
        <v>35914</v>
      </c>
      <c r="D56" s="1" t="str">
        <f t="shared" si="0"/>
        <v>abr</v>
      </c>
      <c r="E56" s="1" t="str">
        <f t="shared" si="1"/>
        <v>1998</v>
      </c>
      <c r="F56" s="1">
        <v>35942</v>
      </c>
      <c r="G56" s="1"/>
      <c r="H56">
        <v>3</v>
      </c>
      <c r="I56" t="str">
        <f t="shared" si="2"/>
        <v>DHL</v>
      </c>
      <c r="J56">
        <v>31.14</v>
      </c>
      <c r="K56" t="s">
        <v>82</v>
      </c>
      <c r="L56" t="s">
        <v>124</v>
      </c>
      <c r="M56" t="s">
        <v>125</v>
      </c>
      <c r="O56" t="s">
        <v>126</v>
      </c>
      <c r="P56" t="s">
        <v>94</v>
      </c>
    </row>
    <row r="57" spans="1:16" x14ac:dyDescent="0.25">
      <c r="A57">
        <v>10265</v>
      </c>
      <c r="B57" t="s">
        <v>128</v>
      </c>
      <c r="C57" s="1">
        <v>35271</v>
      </c>
      <c r="D57" s="1" t="str">
        <f t="shared" si="0"/>
        <v>jul</v>
      </c>
      <c r="E57" s="1" t="str">
        <f t="shared" si="1"/>
        <v>1996</v>
      </c>
      <c r="F57" s="1">
        <v>35299</v>
      </c>
      <c r="G57" s="1">
        <v>35289</v>
      </c>
      <c r="H57">
        <v>1</v>
      </c>
      <c r="I57" t="str">
        <f t="shared" si="2"/>
        <v>UPS</v>
      </c>
      <c r="J57">
        <v>55.28</v>
      </c>
      <c r="K57" t="s">
        <v>81</v>
      </c>
      <c r="L57" t="s">
        <v>131</v>
      </c>
      <c r="M57" t="s">
        <v>132</v>
      </c>
      <c r="O57" t="s">
        <v>133</v>
      </c>
      <c r="P57" t="s">
        <v>134</v>
      </c>
    </row>
    <row r="58" spans="1:16" x14ac:dyDescent="0.25">
      <c r="A58">
        <v>10297</v>
      </c>
      <c r="B58" t="s">
        <v>128</v>
      </c>
      <c r="C58" s="1">
        <v>35312</v>
      </c>
      <c r="D58" s="1" t="str">
        <f t="shared" si="0"/>
        <v>set</v>
      </c>
      <c r="E58" s="1" t="str">
        <f t="shared" si="1"/>
        <v>1996</v>
      </c>
      <c r="F58" s="1">
        <v>35354</v>
      </c>
      <c r="G58" s="1">
        <v>35318</v>
      </c>
      <c r="H58">
        <v>2</v>
      </c>
      <c r="I58" t="str">
        <f t="shared" si="2"/>
        <v>USPS</v>
      </c>
      <c r="J58">
        <v>5.74</v>
      </c>
      <c r="K58" t="s">
        <v>81</v>
      </c>
      <c r="L58" t="s">
        <v>131</v>
      </c>
      <c r="M58" t="s">
        <v>132</v>
      </c>
      <c r="O58" t="s">
        <v>133</v>
      </c>
      <c r="P58" t="s">
        <v>134</v>
      </c>
    </row>
    <row r="59" spans="1:16" x14ac:dyDescent="0.25">
      <c r="A59">
        <v>10360</v>
      </c>
      <c r="B59" t="s">
        <v>128</v>
      </c>
      <c r="C59" s="1">
        <v>35391</v>
      </c>
      <c r="D59" s="1" t="str">
        <f t="shared" si="0"/>
        <v>nov</v>
      </c>
      <c r="E59" s="1" t="str">
        <f t="shared" si="1"/>
        <v>1996</v>
      </c>
      <c r="F59" s="1">
        <v>35419</v>
      </c>
      <c r="G59" s="1">
        <v>35401</v>
      </c>
      <c r="H59">
        <v>3</v>
      </c>
      <c r="I59" t="str">
        <f t="shared" si="2"/>
        <v>DHL</v>
      </c>
      <c r="J59">
        <v>131.69999999999999</v>
      </c>
      <c r="K59" t="s">
        <v>81</v>
      </c>
      <c r="L59" t="s">
        <v>131</v>
      </c>
      <c r="M59" t="s">
        <v>132</v>
      </c>
      <c r="O59" t="s">
        <v>133</v>
      </c>
      <c r="P59" t="s">
        <v>134</v>
      </c>
    </row>
    <row r="60" spans="1:16" x14ac:dyDescent="0.25">
      <c r="A60">
        <v>10436</v>
      </c>
      <c r="B60" t="s">
        <v>128</v>
      </c>
      <c r="C60" s="1">
        <v>35466</v>
      </c>
      <c r="D60" s="1" t="str">
        <f t="shared" si="0"/>
        <v>fev</v>
      </c>
      <c r="E60" s="1" t="str">
        <f t="shared" si="1"/>
        <v>1997</v>
      </c>
      <c r="F60" s="1">
        <v>35494</v>
      </c>
      <c r="G60" s="1">
        <v>35472</v>
      </c>
      <c r="H60">
        <v>2</v>
      </c>
      <c r="I60" t="str">
        <f t="shared" si="2"/>
        <v>USPS</v>
      </c>
      <c r="J60">
        <v>156.66</v>
      </c>
      <c r="K60" t="s">
        <v>81</v>
      </c>
      <c r="L60" t="s">
        <v>131</v>
      </c>
      <c r="M60" t="s">
        <v>132</v>
      </c>
      <c r="O60" t="s">
        <v>133</v>
      </c>
      <c r="P60" t="s">
        <v>134</v>
      </c>
    </row>
    <row r="61" spans="1:16" x14ac:dyDescent="0.25">
      <c r="A61">
        <v>10449</v>
      </c>
      <c r="B61" t="s">
        <v>128</v>
      </c>
      <c r="C61" s="1">
        <v>35479</v>
      </c>
      <c r="D61" s="1" t="str">
        <f t="shared" si="0"/>
        <v>fev</v>
      </c>
      <c r="E61" s="1" t="str">
        <f t="shared" si="1"/>
        <v>1997</v>
      </c>
      <c r="F61" s="1">
        <v>35507</v>
      </c>
      <c r="G61" s="1">
        <v>35488</v>
      </c>
      <c r="H61">
        <v>2</v>
      </c>
      <c r="I61" t="str">
        <f t="shared" si="2"/>
        <v>USPS</v>
      </c>
      <c r="J61">
        <v>53.3</v>
      </c>
      <c r="K61" t="s">
        <v>81</v>
      </c>
      <c r="L61" t="s">
        <v>131</v>
      </c>
      <c r="M61" t="s">
        <v>132</v>
      </c>
      <c r="O61" t="s">
        <v>133</v>
      </c>
      <c r="P61" t="s">
        <v>134</v>
      </c>
    </row>
    <row r="62" spans="1:16" x14ac:dyDescent="0.25">
      <c r="A62">
        <v>10559</v>
      </c>
      <c r="B62" t="s">
        <v>128</v>
      </c>
      <c r="C62" s="1">
        <v>35586</v>
      </c>
      <c r="D62" s="1" t="str">
        <f t="shared" si="0"/>
        <v>jun</v>
      </c>
      <c r="E62" s="1" t="str">
        <f t="shared" si="1"/>
        <v>1997</v>
      </c>
      <c r="F62" s="1">
        <v>35614</v>
      </c>
      <c r="G62" s="1">
        <v>35594</v>
      </c>
      <c r="H62">
        <v>1</v>
      </c>
      <c r="I62" t="str">
        <f t="shared" si="2"/>
        <v>UPS</v>
      </c>
      <c r="J62">
        <v>8.0500000000000007</v>
      </c>
      <c r="K62" t="s">
        <v>81</v>
      </c>
      <c r="L62" t="s">
        <v>131</v>
      </c>
      <c r="M62" t="s">
        <v>132</v>
      </c>
      <c r="O62" t="s">
        <v>133</v>
      </c>
      <c r="P62" t="s">
        <v>134</v>
      </c>
    </row>
    <row r="63" spans="1:16" x14ac:dyDescent="0.25">
      <c r="A63">
        <v>10566</v>
      </c>
      <c r="B63" t="s">
        <v>128</v>
      </c>
      <c r="C63" s="1">
        <v>35593</v>
      </c>
      <c r="D63" s="1" t="str">
        <f t="shared" si="0"/>
        <v>jun</v>
      </c>
      <c r="E63" s="1" t="str">
        <f t="shared" si="1"/>
        <v>1997</v>
      </c>
      <c r="F63" s="1">
        <v>35621</v>
      </c>
      <c r="G63" s="1">
        <v>35599</v>
      </c>
      <c r="H63">
        <v>1</v>
      </c>
      <c r="I63" t="str">
        <f t="shared" si="2"/>
        <v>UPS</v>
      </c>
      <c r="J63">
        <v>88.4</v>
      </c>
      <c r="K63" t="s">
        <v>81</v>
      </c>
      <c r="L63" t="s">
        <v>131</v>
      </c>
      <c r="M63" t="s">
        <v>132</v>
      </c>
      <c r="O63" t="s">
        <v>133</v>
      </c>
      <c r="P63" t="s">
        <v>134</v>
      </c>
    </row>
    <row r="64" spans="1:16" x14ac:dyDescent="0.25">
      <c r="A64">
        <v>10584</v>
      </c>
      <c r="B64" t="s">
        <v>128</v>
      </c>
      <c r="C64" s="1">
        <v>35611</v>
      </c>
      <c r="D64" s="1" t="str">
        <f t="shared" si="0"/>
        <v>jun</v>
      </c>
      <c r="E64" s="1" t="str">
        <f t="shared" si="1"/>
        <v>1997</v>
      </c>
      <c r="F64" s="1">
        <v>35639</v>
      </c>
      <c r="G64" s="1">
        <v>35615</v>
      </c>
      <c r="H64">
        <v>1</v>
      </c>
      <c r="I64" t="str">
        <f t="shared" si="2"/>
        <v>UPS</v>
      </c>
      <c r="J64">
        <v>59.14</v>
      </c>
      <c r="K64" t="s">
        <v>81</v>
      </c>
      <c r="L64" t="s">
        <v>131</v>
      </c>
      <c r="M64" t="s">
        <v>132</v>
      </c>
      <c r="O64" t="s">
        <v>133</v>
      </c>
      <c r="P64" t="s">
        <v>134</v>
      </c>
    </row>
    <row r="65" spans="1:16" x14ac:dyDescent="0.25">
      <c r="A65">
        <v>10628</v>
      </c>
      <c r="B65" t="s">
        <v>128</v>
      </c>
      <c r="C65" s="1">
        <v>35654</v>
      </c>
      <c r="D65" s="1" t="str">
        <f t="shared" si="0"/>
        <v>ago</v>
      </c>
      <c r="E65" s="1" t="str">
        <f t="shared" si="1"/>
        <v>1997</v>
      </c>
      <c r="F65" s="1">
        <v>35682</v>
      </c>
      <c r="G65" s="1">
        <v>35662</v>
      </c>
      <c r="H65">
        <v>3</v>
      </c>
      <c r="I65" t="str">
        <f t="shared" si="2"/>
        <v>DHL</v>
      </c>
      <c r="J65">
        <v>30.36</v>
      </c>
      <c r="K65" t="s">
        <v>81</v>
      </c>
      <c r="L65" t="s">
        <v>131</v>
      </c>
      <c r="M65" t="s">
        <v>132</v>
      </c>
      <c r="O65" t="s">
        <v>133</v>
      </c>
      <c r="P65" t="s">
        <v>134</v>
      </c>
    </row>
    <row r="66" spans="1:16" x14ac:dyDescent="0.25">
      <c r="A66">
        <v>10679</v>
      </c>
      <c r="B66" t="s">
        <v>128</v>
      </c>
      <c r="C66" s="1">
        <v>35696</v>
      </c>
      <c r="D66" s="1" t="str">
        <f t="shared" si="0"/>
        <v>set</v>
      </c>
      <c r="E66" s="1" t="str">
        <f t="shared" si="1"/>
        <v>1997</v>
      </c>
      <c r="F66" s="1">
        <v>35724</v>
      </c>
      <c r="G66" s="1">
        <v>35703</v>
      </c>
      <c r="H66">
        <v>3</v>
      </c>
      <c r="I66" t="str">
        <f t="shared" si="2"/>
        <v>DHL</v>
      </c>
      <c r="J66">
        <v>27.94</v>
      </c>
      <c r="K66" t="s">
        <v>81</v>
      </c>
      <c r="L66" t="s">
        <v>131</v>
      </c>
      <c r="M66" t="s">
        <v>132</v>
      </c>
      <c r="O66" t="s">
        <v>133</v>
      </c>
      <c r="P66" t="s">
        <v>134</v>
      </c>
    </row>
    <row r="67" spans="1:16" x14ac:dyDescent="0.25">
      <c r="A67">
        <v>10826</v>
      </c>
      <c r="B67" t="s">
        <v>128</v>
      </c>
      <c r="C67" s="1">
        <v>35807</v>
      </c>
      <c r="D67" s="1" t="str">
        <f t="shared" ref="D67:D130" si="3">TEXT(C67,"mmm")</f>
        <v>jan</v>
      </c>
      <c r="E67" s="1" t="str">
        <f t="shared" ref="E67:E130" si="4">TEXT(C67,"aaa")</f>
        <v>1998</v>
      </c>
      <c r="F67" s="1">
        <v>35835</v>
      </c>
      <c r="G67" s="1">
        <v>35832</v>
      </c>
      <c r="H67">
        <v>1</v>
      </c>
      <c r="I67" t="str">
        <f t="shared" ref="I67:I130" si="5">CHOOSE(H67,"UPS","USPS","DHL")</f>
        <v>UPS</v>
      </c>
      <c r="J67">
        <v>7.09</v>
      </c>
      <c r="K67" t="s">
        <v>81</v>
      </c>
      <c r="L67" t="s">
        <v>131</v>
      </c>
      <c r="M67" t="s">
        <v>132</v>
      </c>
      <c r="O67" t="s">
        <v>133</v>
      </c>
      <c r="P67" t="s">
        <v>134</v>
      </c>
    </row>
    <row r="68" spans="1:16" x14ac:dyDescent="0.25">
      <c r="A68">
        <v>10326</v>
      </c>
      <c r="B68" t="s">
        <v>136</v>
      </c>
      <c r="C68" s="1">
        <v>35348</v>
      </c>
      <c r="D68" s="1" t="str">
        <f t="shared" si="3"/>
        <v>out</v>
      </c>
      <c r="E68" s="1" t="str">
        <f t="shared" si="4"/>
        <v>1996</v>
      </c>
      <c r="F68" s="1">
        <v>35376</v>
      </c>
      <c r="G68" s="1">
        <v>35352</v>
      </c>
      <c r="H68">
        <v>2</v>
      </c>
      <c r="I68" t="str">
        <f t="shared" si="5"/>
        <v>USPS</v>
      </c>
      <c r="J68">
        <v>77.92</v>
      </c>
      <c r="K68" t="s">
        <v>80</v>
      </c>
      <c r="L68" t="s">
        <v>138</v>
      </c>
      <c r="M68" t="s">
        <v>139</v>
      </c>
      <c r="O68" t="s">
        <v>140</v>
      </c>
      <c r="P68" t="s">
        <v>141</v>
      </c>
    </row>
    <row r="69" spans="1:16" x14ac:dyDescent="0.25">
      <c r="A69">
        <v>10801</v>
      </c>
      <c r="B69" t="s">
        <v>136</v>
      </c>
      <c r="C69" s="1">
        <v>35793</v>
      </c>
      <c r="D69" s="1" t="str">
        <f t="shared" si="3"/>
        <v>dez</v>
      </c>
      <c r="E69" s="1" t="str">
        <f t="shared" si="4"/>
        <v>1997</v>
      </c>
      <c r="F69" s="1">
        <v>35821</v>
      </c>
      <c r="G69" s="1">
        <v>35795</v>
      </c>
      <c r="H69">
        <v>2</v>
      </c>
      <c r="I69" t="str">
        <f t="shared" si="5"/>
        <v>USPS</v>
      </c>
      <c r="J69">
        <v>97.09</v>
      </c>
      <c r="K69" t="s">
        <v>80</v>
      </c>
      <c r="L69" t="s">
        <v>138</v>
      </c>
      <c r="M69" t="s">
        <v>139</v>
      </c>
      <c r="O69" t="s">
        <v>140</v>
      </c>
      <c r="P69" t="s">
        <v>141</v>
      </c>
    </row>
    <row r="70" spans="1:16" x14ac:dyDescent="0.25">
      <c r="A70">
        <v>10970</v>
      </c>
      <c r="B70" t="s">
        <v>136</v>
      </c>
      <c r="C70" s="1">
        <v>35878</v>
      </c>
      <c r="D70" s="1" t="str">
        <f t="shared" si="3"/>
        <v>mar</v>
      </c>
      <c r="E70" s="1" t="str">
        <f t="shared" si="4"/>
        <v>1998</v>
      </c>
      <c r="F70" s="1">
        <v>35892</v>
      </c>
      <c r="G70" s="1">
        <v>35909</v>
      </c>
      <c r="H70">
        <v>1</v>
      </c>
      <c r="I70" t="str">
        <f t="shared" si="5"/>
        <v>UPS</v>
      </c>
      <c r="J70">
        <v>16.16</v>
      </c>
      <c r="K70" t="s">
        <v>80</v>
      </c>
      <c r="L70" t="s">
        <v>138</v>
      </c>
      <c r="M70" t="s">
        <v>139</v>
      </c>
      <c r="O70" t="s">
        <v>140</v>
      </c>
      <c r="P70" t="s">
        <v>141</v>
      </c>
    </row>
    <row r="71" spans="1:16" x14ac:dyDescent="0.25">
      <c r="A71">
        <v>10331</v>
      </c>
      <c r="B71" t="s">
        <v>143</v>
      </c>
      <c r="C71" s="1">
        <v>35354</v>
      </c>
      <c r="D71" s="1" t="str">
        <f t="shared" si="3"/>
        <v>out</v>
      </c>
      <c r="E71" s="1" t="str">
        <f t="shared" si="4"/>
        <v>1996</v>
      </c>
      <c r="F71" s="1">
        <v>35396</v>
      </c>
      <c r="G71" s="1">
        <v>35359</v>
      </c>
      <c r="H71">
        <v>1</v>
      </c>
      <c r="I71" t="str">
        <f t="shared" si="5"/>
        <v>UPS</v>
      </c>
      <c r="J71">
        <v>10.19</v>
      </c>
      <c r="K71" t="s">
        <v>79</v>
      </c>
      <c r="L71" t="s">
        <v>145</v>
      </c>
      <c r="M71" t="s">
        <v>146</v>
      </c>
      <c r="O71" t="s">
        <v>147</v>
      </c>
      <c r="P71" t="s">
        <v>134</v>
      </c>
    </row>
    <row r="72" spans="1:16" x14ac:dyDescent="0.25">
      <c r="A72">
        <v>10340</v>
      </c>
      <c r="B72" t="s">
        <v>143</v>
      </c>
      <c r="C72" s="1">
        <v>35367</v>
      </c>
      <c r="D72" s="1" t="str">
        <f t="shared" si="3"/>
        <v>out</v>
      </c>
      <c r="E72" s="1" t="str">
        <f t="shared" si="4"/>
        <v>1996</v>
      </c>
      <c r="F72" s="1">
        <v>35395</v>
      </c>
      <c r="G72" s="1">
        <v>35377</v>
      </c>
      <c r="H72">
        <v>3</v>
      </c>
      <c r="I72" t="str">
        <f t="shared" si="5"/>
        <v>DHL</v>
      </c>
      <c r="J72">
        <v>166.31</v>
      </c>
      <c r="K72" t="s">
        <v>79</v>
      </c>
      <c r="L72" t="s">
        <v>145</v>
      </c>
      <c r="M72" t="s">
        <v>146</v>
      </c>
      <c r="O72" t="s">
        <v>147</v>
      </c>
      <c r="P72" t="s">
        <v>134</v>
      </c>
    </row>
    <row r="73" spans="1:16" x14ac:dyDescent="0.25">
      <c r="A73">
        <v>10362</v>
      </c>
      <c r="B73" t="s">
        <v>143</v>
      </c>
      <c r="C73" s="1">
        <v>35394</v>
      </c>
      <c r="D73" s="1" t="str">
        <f t="shared" si="3"/>
        <v>nov</v>
      </c>
      <c r="E73" s="1" t="str">
        <f t="shared" si="4"/>
        <v>1996</v>
      </c>
      <c r="F73" s="1">
        <v>35422</v>
      </c>
      <c r="G73" s="1">
        <v>35397</v>
      </c>
      <c r="H73">
        <v>1</v>
      </c>
      <c r="I73" t="str">
        <f t="shared" si="5"/>
        <v>UPS</v>
      </c>
      <c r="J73">
        <v>96.04</v>
      </c>
      <c r="K73" t="s">
        <v>79</v>
      </c>
      <c r="L73" t="s">
        <v>145</v>
      </c>
      <c r="M73" t="s">
        <v>146</v>
      </c>
      <c r="O73" t="s">
        <v>147</v>
      </c>
      <c r="P73" t="s">
        <v>134</v>
      </c>
    </row>
    <row r="74" spans="1:16" x14ac:dyDescent="0.25">
      <c r="A74">
        <v>10470</v>
      </c>
      <c r="B74" t="s">
        <v>143</v>
      </c>
      <c r="C74" s="1">
        <v>35500</v>
      </c>
      <c r="D74" s="1" t="str">
        <f t="shared" si="3"/>
        <v>mar</v>
      </c>
      <c r="E74" s="1" t="str">
        <f t="shared" si="4"/>
        <v>1997</v>
      </c>
      <c r="F74" s="1">
        <v>35528</v>
      </c>
      <c r="G74" s="1">
        <v>35503</v>
      </c>
      <c r="H74">
        <v>2</v>
      </c>
      <c r="I74" t="str">
        <f t="shared" si="5"/>
        <v>USPS</v>
      </c>
      <c r="J74">
        <v>64.56</v>
      </c>
      <c r="K74" t="s">
        <v>79</v>
      </c>
      <c r="L74" t="s">
        <v>145</v>
      </c>
      <c r="M74" t="s">
        <v>146</v>
      </c>
      <c r="O74" t="s">
        <v>147</v>
      </c>
      <c r="P74" t="s">
        <v>134</v>
      </c>
    </row>
    <row r="75" spans="1:16" x14ac:dyDescent="0.25">
      <c r="A75">
        <v>10511</v>
      </c>
      <c r="B75" t="s">
        <v>143</v>
      </c>
      <c r="C75" s="1">
        <v>35538</v>
      </c>
      <c r="D75" s="1" t="str">
        <f t="shared" si="3"/>
        <v>abr</v>
      </c>
      <c r="E75" s="1" t="str">
        <f t="shared" si="4"/>
        <v>1997</v>
      </c>
      <c r="F75" s="1">
        <v>35566</v>
      </c>
      <c r="G75" s="1">
        <v>35541</v>
      </c>
      <c r="H75">
        <v>3</v>
      </c>
      <c r="I75" t="str">
        <f t="shared" si="5"/>
        <v>DHL</v>
      </c>
      <c r="J75">
        <v>350.64</v>
      </c>
      <c r="K75" t="s">
        <v>79</v>
      </c>
      <c r="L75" t="s">
        <v>145</v>
      </c>
      <c r="M75" t="s">
        <v>146</v>
      </c>
      <c r="O75" t="s">
        <v>147</v>
      </c>
      <c r="P75" t="s">
        <v>134</v>
      </c>
    </row>
    <row r="76" spans="1:16" x14ac:dyDescent="0.25">
      <c r="A76">
        <v>10525</v>
      </c>
      <c r="B76" t="s">
        <v>143</v>
      </c>
      <c r="C76" s="1">
        <v>35552</v>
      </c>
      <c r="D76" s="1" t="str">
        <f t="shared" si="3"/>
        <v>mai</v>
      </c>
      <c r="E76" s="1" t="str">
        <f t="shared" si="4"/>
        <v>1997</v>
      </c>
      <c r="F76" s="1">
        <v>35580</v>
      </c>
      <c r="G76" s="1">
        <v>35573</v>
      </c>
      <c r="H76">
        <v>2</v>
      </c>
      <c r="I76" t="str">
        <f t="shared" si="5"/>
        <v>USPS</v>
      </c>
      <c r="J76">
        <v>11.06</v>
      </c>
      <c r="K76" t="s">
        <v>79</v>
      </c>
      <c r="L76" t="s">
        <v>145</v>
      </c>
      <c r="M76" t="s">
        <v>146</v>
      </c>
      <c r="O76" t="s">
        <v>147</v>
      </c>
      <c r="P76" t="s">
        <v>134</v>
      </c>
    </row>
    <row r="77" spans="1:16" x14ac:dyDescent="0.25">
      <c r="A77">
        <v>10663</v>
      </c>
      <c r="B77" t="s">
        <v>143</v>
      </c>
      <c r="C77" s="1">
        <v>35683</v>
      </c>
      <c r="D77" s="1" t="str">
        <f t="shared" si="3"/>
        <v>set</v>
      </c>
      <c r="E77" s="1" t="str">
        <f t="shared" si="4"/>
        <v>1997</v>
      </c>
      <c r="F77" s="1">
        <v>35697</v>
      </c>
      <c r="G77" s="1">
        <v>35706</v>
      </c>
      <c r="H77">
        <v>2</v>
      </c>
      <c r="I77" t="str">
        <f t="shared" si="5"/>
        <v>USPS</v>
      </c>
      <c r="J77">
        <v>113.15</v>
      </c>
      <c r="K77" t="s">
        <v>79</v>
      </c>
      <c r="L77" t="s">
        <v>145</v>
      </c>
      <c r="M77" t="s">
        <v>146</v>
      </c>
      <c r="O77" t="s">
        <v>147</v>
      </c>
      <c r="P77" t="s">
        <v>134</v>
      </c>
    </row>
    <row r="78" spans="1:16" x14ac:dyDescent="0.25">
      <c r="A78">
        <v>10715</v>
      </c>
      <c r="B78" t="s">
        <v>143</v>
      </c>
      <c r="C78" s="1">
        <v>35726</v>
      </c>
      <c r="D78" s="1" t="str">
        <f t="shared" si="3"/>
        <v>out</v>
      </c>
      <c r="E78" s="1" t="str">
        <f t="shared" si="4"/>
        <v>1997</v>
      </c>
      <c r="F78" s="1">
        <v>35740</v>
      </c>
      <c r="G78" s="1">
        <v>35732</v>
      </c>
      <c r="H78">
        <v>1</v>
      </c>
      <c r="I78" t="str">
        <f t="shared" si="5"/>
        <v>UPS</v>
      </c>
      <c r="J78">
        <v>63.2</v>
      </c>
      <c r="K78" t="s">
        <v>79</v>
      </c>
      <c r="L78" t="s">
        <v>145</v>
      </c>
      <c r="M78" t="s">
        <v>146</v>
      </c>
      <c r="O78" t="s">
        <v>147</v>
      </c>
      <c r="P78" t="s">
        <v>134</v>
      </c>
    </row>
    <row r="79" spans="1:16" x14ac:dyDescent="0.25">
      <c r="A79">
        <v>10730</v>
      </c>
      <c r="B79" t="s">
        <v>143</v>
      </c>
      <c r="C79" s="1">
        <v>35739</v>
      </c>
      <c r="D79" s="1" t="str">
        <f t="shared" si="3"/>
        <v>nov</v>
      </c>
      <c r="E79" s="1" t="str">
        <f t="shared" si="4"/>
        <v>1997</v>
      </c>
      <c r="F79" s="1">
        <v>35767</v>
      </c>
      <c r="G79" s="1">
        <v>35748</v>
      </c>
      <c r="H79">
        <v>1</v>
      </c>
      <c r="I79" t="str">
        <f t="shared" si="5"/>
        <v>UPS</v>
      </c>
      <c r="J79">
        <v>20.12</v>
      </c>
      <c r="K79" t="s">
        <v>79</v>
      </c>
      <c r="L79" t="s">
        <v>145</v>
      </c>
      <c r="M79" t="s">
        <v>146</v>
      </c>
      <c r="O79" t="s">
        <v>147</v>
      </c>
      <c r="P79" t="s">
        <v>134</v>
      </c>
    </row>
    <row r="80" spans="1:16" x14ac:dyDescent="0.25">
      <c r="A80">
        <v>10732</v>
      </c>
      <c r="B80" t="s">
        <v>143</v>
      </c>
      <c r="C80" s="1">
        <v>35740</v>
      </c>
      <c r="D80" s="1" t="str">
        <f t="shared" si="3"/>
        <v>nov</v>
      </c>
      <c r="E80" s="1" t="str">
        <f t="shared" si="4"/>
        <v>1997</v>
      </c>
      <c r="F80" s="1">
        <v>35768</v>
      </c>
      <c r="G80" s="1">
        <v>35741</v>
      </c>
      <c r="H80">
        <v>1</v>
      </c>
      <c r="I80" t="str">
        <f t="shared" si="5"/>
        <v>UPS</v>
      </c>
      <c r="J80">
        <v>16.97</v>
      </c>
      <c r="K80" t="s">
        <v>79</v>
      </c>
      <c r="L80" t="s">
        <v>145</v>
      </c>
      <c r="M80" t="s">
        <v>146</v>
      </c>
      <c r="O80" t="s">
        <v>147</v>
      </c>
      <c r="P80" t="s">
        <v>134</v>
      </c>
    </row>
    <row r="81" spans="1:16" x14ac:dyDescent="0.25">
      <c r="A81">
        <v>10755</v>
      </c>
      <c r="B81" t="s">
        <v>143</v>
      </c>
      <c r="C81" s="1">
        <v>35760</v>
      </c>
      <c r="D81" s="1" t="str">
        <f t="shared" si="3"/>
        <v>nov</v>
      </c>
      <c r="E81" s="1" t="str">
        <f t="shared" si="4"/>
        <v>1997</v>
      </c>
      <c r="F81" s="1">
        <v>35788</v>
      </c>
      <c r="G81" s="1">
        <v>35762</v>
      </c>
      <c r="H81">
        <v>2</v>
      </c>
      <c r="I81" t="str">
        <f t="shared" si="5"/>
        <v>USPS</v>
      </c>
      <c r="J81">
        <v>16.71</v>
      </c>
      <c r="K81" t="s">
        <v>79</v>
      </c>
      <c r="L81" t="s">
        <v>145</v>
      </c>
      <c r="M81" t="s">
        <v>146</v>
      </c>
      <c r="O81" t="s">
        <v>147</v>
      </c>
      <c r="P81" t="s">
        <v>134</v>
      </c>
    </row>
    <row r="82" spans="1:16" x14ac:dyDescent="0.25">
      <c r="A82">
        <v>10827</v>
      </c>
      <c r="B82" t="s">
        <v>143</v>
      </c>
      <c r="C82" s="1">
        <v>35807</v>
      </c>
      <c r="D82" s="1" t="str">
        <f t="shared" si="3"/>
        <v>jan</v>
      </c>
      <c r="E82" s="1" t="str">
        <f t="shared" si="4"/>
        <v>1998</v>
      </c>
      <c r="F82" s="1">
        <v>35821</v>
      </c>
      <c r="G82" s="1">
        <v>35832</v>
      </c>
      <c r="H82">
        <v>2</v>
      </c>
      <c r="I82" t="str">
        <f t="shared" si="5"/>
        <v>USPS</v>
      </c>
      <c r="J82">
        <v>63.54</v>
      </c>
      <c r="K82" t="s">
        <v>79</v>
      </c>
      <c r="L82" t="s">
        <v>145</v>
      </c>
      <c r="M82" t="s">
        <v>146</v>
      </c>
      <c r="O82" t="s">
        <v>147</v>
      </c>
      <c r="P82" t="s">
        <v>134</v>
      </c>
    </row>
    <row r="83" spans="1:16" x14ac:dyDescent="0.25">
      <c r="A83">
        <v>10871</v>
      </c>
      <c r="B83" t="s">
        <v>143</v>
      </c>
      <c r="C83" s="1">
        <v>35831</v>
      </c>
      <c r="D83" s="1" t="str">
        <f t="shared" si="3"/>
        <v>fev</v>
      </c>
      <c r="E83" s="1" t="str">
        <f t="shared" si="4"/>
        <v>1998</v>
      </c>
      <c r="F83" s="1">
        <v>35859</v>
      </c>
      <c r="G83" s="1">
        <v>35836</v>
      </c>
      <c r="H83">
        <v>2</v>
      </c>
      <c r="I83" t="str">
        <f t="shared" si="5"/>
        <v>USPS</v>
      </c>
      <c r="J83">
        <v>112.27</v>
      </c>
      <c r="K83" t="s">
        <v>79</v>
      </c>
      <c r="L83" t="s">
        <v>145</v>
      </c>
      <c r="M83" t="s">
        <v>146</v>
      </c>
      <c r="O83" t="s">
        <v>147</v>
      </c>
      <c r="P83" t="s">
        <v>134</v>
      </c>
    </row>
    <row r="84" spans="1:16" x14ac:dyDescent="0.25">
      <c r="A84">
        <v>10876</v>
      </c>
      <c r="B84" t="s">
        <v>143</v>
      </c>
      <c r="C84" s="1">
        <v>35835</v>
      </c>
      <c r="D84" s="1" t="str">
        <f t="shared" si="3"/>
        <v>fev</v>
      </c>
      <c r="E84" s="1" t="str">
        <f t="shared" si="4"/>
        <v>1998</v>
      </c>
      <c r="F84" s="1">
        <v>35863</v>
      </c>
      <c r="G84" s="1">
        <v>35838</v>
      </c>
      <c r="H84">
        <v>3</v>
      </c>
      <c r="I84" t="str">
        <f t="shared" si="5"/>
        <v>DHL</v>
      </c>
      <c r="J84">
        <v>60.42</v>
      </c>
      <c r="K84" t="s">
        <v>79</v>
      </c>
      <c r="L84" t="s">
        <v>145</v>
      </c>
      <c r="M84" t="s">
        <v>146</v>
      </c>
      <c r="O84" t="s">
        <v>147</v>
      </c>
      <c r="P84" t="s">
        <v>134</v>
      </c>
    </row>
    <row r="85" spans="1:16" x14ac:dyDescent="0.25">
      <c r="A85">
        <v>10932</v>
      </c>
      <c r="B85" t="s">
        <v>143</v>
      </c>
      <c r="C85" s="1">
        <v>35860</v>
      </c>
      <c r="D85" s="1" t="str">
        <f t="shared" si="3"/>
        <v>mar</v>
      </c>
      <c r="E85" s="1" t="str">
        <f t="shared" si="4"/>
        <v>1998</v>
      </c>
      <c r="F85" s="1">
        <v>35888</v>
      </c>
      <c r="G85" s="1">
        <v>35878</v>
      </c>
      <c r="H85">
        <v>1</v>
      </c>
      <c r="I85" t="str">
        <f t="shared" si="5"/>
        <v>UPS</v>
      </c>
      <c r="J85">
        <v>134.63999999999999</v>
      </c>
      <c r="K85" t="s">
        <v>79</v>
      </c>
      <c r="L85" t="s">
        <v>145</v>
      </c>
      <c r="M85" t="s">
        <v>146</v>
      </c>
      <c r="O85" t="s">
        <v>147</v>
      </c>
      <c r="P85" t="s">
        <v>134</v>
      </c>
    </row>
    <row r="86" spans="1:16" x14ac:dyDescent="0.25">
      <c r="A86">
        <v>10940</v>
      </c>
      <c r="B86" t="s">
        <v>143</v>
      </c>
      <c r="C86" s="1">
        <v>35865</v>
      </c>
      <c r="D86" s="1" t="str">
        <f t="shared" si="3"/>
        <v>mar</v>
      </c>
      <c r="E86" s="1" t="str">
        <f t="shared" si="4"/>
        <v>1998</v>
      </c>
      <c r="F86" s="1">
        <v>35893</v>
      </c>
      <c r="G86" s="1">
        <v>35877</v>
      </c>
      <c r="H86">
        <v>3</v>
      </c>
      <c r="I86" t="str">
        <f t="shared" si="5"/>
        <v>DHL</v>
      </c>
      <c r="J86">
        <v>19.77</v>
      </c>
      <c r="K86" t="s">
        <v>79</v>
      </c>
      <c r="L86" t="s">
        <v>145</v>
      </c>
      <c r="M86" t="s">
        <v>146</v>
      </c>
      <c r="O86" t="s">
        <v>147</v>
      </c>
      <c r="P86" t="s">
        <v>134</v>
      </c>
    </row>
    <row r="87" spans="1:16" x14ac:dyDescent="0.25">
      <c r="A87">
        <v>11076</v>
      </c>
      <c r="B87" t="s">
        <v>143</v>
      </c>
      <c r="C87" s="1">
        <v>35921</v>
      </c>
      <c r="D87" s="1" t="str">
        <f t="shared" si="3"/>
        <v>mai</v>
      </c>
      <c r="E87" s="1" t="str">
        <f t="shared" si="4"/>
        <v>1998</v>
      </c>
      <c r="F87" s="1">
        <v>35949</v>
      </c>
      <c r="G87" s="1"/>
      <c r="H87">
        <v>2</v>
      </c>
      <c r="I87" t="str">
        <f t="shared" si="5"/>
        <v>USPS</v>
      </c>
      <c r="J87">
        <v>38.28</v>
      </c>
      <c r="K87" t="s">
        <v>79</v>
      </c>
      <c r="L87" t="s">
        <v>145</v>
      </c>
      <c r="M87" t="s">
        <v>146</v>
      </c>
      <c r="O87" t="s">
        <v>147</v>
      </c>
      <c r="P87" t="s">
        <v>134</v>
      </c>
    </row>
    <row r="88" spans="1:16" x14ac:dyDescent="0.25">
      <c r="A88">
        <v>10389</v>
      </c>
      <c r="B88" t="s">
        <v>149</v>
      </c>
      <c r="C88" s="1">
        <v>35419</v>
      </c>
      <c r="D88" s="1" t="str">
        <f t="shared" si="3"/>
        <v>dez</v>
      </c>
      <c r="E88" s="1" t="str">
        <f t="shared" si="4"/>
        <v>1996</v>
      </c>
      <c r="F88" s="1">
        <v>35447</v>
      </c>
      <c r="G88" s="1">
        <v>35423</v>
      </c>
      <c r="H88">
        <v>2</v>
      </c>
      <c r="I88" t="str">
        <f t="shared" si="5"/>
        <v>USPS</v>
      </c>
      <c r="J88">
        <v>47.42</v>
      </c>
      <c r="K88" t="s">
        <v>78</v>
      </c>
      <c r="L88" t="s">
        <v>152</v>
      </c>
      <c r="M88" t="s">
        <v>153</v>
      </c>
      <c r="N88" t="s">
        <v>154</v>
      </c>
      <c r="O88" t="s">
        <v>155</v>
      </c>
      <c r="P88" t="s">
        <v>156</v>
      </c>
    </row>
    <row r="89" spans="1:16" x14ac:dyDescent="0.25">
      <c r="A89">
        <v>10410</v>
      </c>
      <c r="B89" t="s">
        <v>149</v>
      </c>
      <c r="C89" s="1">
        <v>35440</v>
      </c>
      <c r="D89" s="1" t="str">
        <f t="shared" si="3"/>
        <v>jan</v>
      </c>
      <c r="E89" s="1" t="str">
        <f t="shared" si="4"/>
        <v>1997</v>
      </c>
      <c r="F89" s="1">
        <v>35468</v>
      </c>
      <c r="G89" s="1">
        <v>35445</v>
      </c>
      <c r="H89">
        <v>3</v>
      </c>
      <c r="I89" t="str">
        <f t="shared" si="5"/>
        <v>DHL</v>
      </c>
      <c r="J89">
        <v>2.4</v>
      </c>
      <c r="K89" t="s">
        <v>78</v>
      </c>
      <c r="L89" t="s">
        <v>152</v>
      </c>
      <c r="M89" t="s">
        <v>153</v>
      </c>
      <c r="N89" t="s">
        <v>154</v>
      </c>
      <c r="O89" t="s">
        <v>155</v>
      </c>
      <c r="P89" t="s">
        <v>156</v>
      </c>
    </row>
    <row r="90" spans="1:16" x14ac:dyDescent="0.25">
      <c r="A90">
        <v>10411</v>
      </c>
      <c r="B90" t="s">
        <v>149</v>
      </c>
      <c r="C90" s="1">
        <v>35440</v>
      </c>
      <c r="D90" s="1" t="str">
        <f t="shared" si="3"/>
        <v>jan</v>
      </c>
      <c r="E90" s="1" t="str">
        <f t="shared" si="4"/>
        <v>1997</v>
      </c>
      <c r="F90" s="1">
        <v>35468</v>
      </c>
      <c r="G90" s="1">
        <v>35451</v>
      </c>
      <c r="H90">
        <v>3</v>
      </c>
      <c r="I90" t="str">
        <f t="shared" si="5"/>
        <v>DHL</v>
      </c>
      <c r="J90">
        <v>23.65</v>
      </c>
      <c r="K90" t="s">
        <v>78</v>
      </c>
      <c r="L90" t="s">
        <v>152</v>
      </c>
      <c r="M90" t="s">
        <v>153</v>
      </c>
      <c r="N90" t="s">
        <v>154</v>
      </c>
      <c r="O90" t="s">
        <v>155</v>
      </c>
      <c r="P90" t="s">
        <v>156</v>
      </c>
    </row>
    <row r="91" spans="1:16" x14ac:dyDescent="0.25">
      <c r="A91">
        <v>10431</v>
      </c>
      <c r="B91" t="s">
        <v>149</v>
      </c>
      <c r="C91" s="1">
        <v>35460</v>
      </c>
      <c r="D91" s="1" t="str">
        <f t="shared" si="3"/>
        <v>jan</v>
      </c>
      <c r="E91" s="1" t="str">
        <f t="shared" si="4"/>
        <v>1997</v>
      </c>
      <c r="F91" s="1">
        <v>35474</v>
      </c>
      <c r="G91" s="1">
        <v>35468</v>
      </c>
      <c r="H91">
        <v>2</v>
      </c>
      <c r="I91" t="str">
        <f t="shared" si="5"/>
        <v>USPS</v>
      </c>
      <c r="J91">
        <v>44.17</v>
      </c>
      <c r="K91" t="s">
        <v>78</v>
      </c>
      <c r="L91" t="s">
        <v>152</v>
      </c>
      <c r="M91" t="s">
        <v>153</v>
      </c>
      <c r="N91" t="s">
        <v>154</v>
      </c>
      <c r="O91" t="s">
        <v>155</v>
      </c>
      <c r="P91" t="s">
        <v>156</v>
      </c>
    </row>
    <row r="92" spans="1:16" x14ac:dyDescent="0.25">
      <c r="A92">
        <v>10492</v>
      </c>
      <c r="B92" t="s">
        <v>149</v>
      </c>
      <c r="C92" s="1">
        <v>35521</v>
      </c>
      <c r="D92" s="1" t="str">
        <f t="shared" si="3"/>
        <v>abr</v>
      </c>
      <c r="E92" s="1" t="str">
        <f t="shared" si="4"/>
        <v>1997</v>
      </c>
      <c r="F92" s="1">
        <v>35549</v>
      </c>
      <c r="G92" s="1">
        <v>35531</v>
      </c>
      <c r="H92">
        <v>1</v>
      </c>
      <c r="I92" t="str">
        <f t="shared" si="5"/>
        <v>UPS</v>
      </c>
      <c r="J92">
        <v>62.89</v>
      </c>
      <c r="K92" t="s">
        <v>78</v>
      </c>
      <c r="L92" t="s">
        <v>152</v>
      </c>
      <c r="M92" t="s">
        <v>153</v>
      </c>
      <c r="N92" t="s">
        <v>154</v>
      </c>
      <c r="O92" t="s">
        <v>155</v>
      </c>
      <c r="P92" t="s">
        <v>156</v>
      </c>
    </row>
    <row r="93" spans="1:16" x14ac:dyDescent="0.25">
      <c r="A93">
        <v>10742</v>
      </c>
      <c r="B93" t="s">
        <v>149</v>
      </c>
      <c r="C93" s="1">
        <v>35748</v>
      </c>
      <c r="D93" s="1" t="str">
        <f t="shared" si="3"/>
        <v>nov</v>
      </c>
      <c r="E93" s="1" t="str">
        <f t="shared" si="4"/>
        <v>1997</v>
      </c>
      <c r="F93" s="1">
        <v>35776</v>
      </c>
      <c r="G93" s="1">
        <v>35752</v>
      </c>
      <c r="H93">
        <v>3</v>
      </c>
      <c r="I93" t="str">
        <f t="shared" si="5"/>
        <v>DHL</v>
      </c>
      <c r="J93">
        <v>243.73</v>
      </c>
      <c r="K93" t="s">
        <v>78</v>
      </c>
      <c r="L93" t="s">
        <v>152</v>
      </c>
      <c r="M93" t="s">
        <v>153</v>
      </c>
      <c r="N93" t="s">
        <v>154</v>
      </c>
      <c r="O93" t="s">
        <v>155</v>
      </c>
      <c r="P93" t="s">
        <v>156</v>
      </c>
    </row>
    <row r="94" spans="1:16" x14ac:dyDescent="0.25">
      <c r="A94">
        <v>10918</v>
      </c>
      <c r="B94" t="s">
        <v>149</v>
      </c>
      <c r="C94" s="1">
        <v>35856</v>
      </c>
      <c r="D94" s="1" t="str">
        <f t="shared" si="3"/>
        <v>mar</v>
      </c>
      <c r="E94" s="1" t="str">
        <f t="shared" si="4"/>
        <v>1998</v>
      </c>
      <c r="F94" s="1">
        <v>35884</v>
      </c>
      <c r="G94" s="1">
        <v>35865</v>
      </c>
      <c r="H94">
        <v>3</v>
      </c>
      <c r="I94" t="str">
        <f t="shared" si="5"/>
        <v>DHL</v>
      </c>
      <c r="J94">
        <v>48.83</v>
      </c>
      <c r="K94" t="s">
        <v>78</v>
      </c>
      <c r="L94" t="s">
        <v>152</v>
      </c>
      <c r="M94" t="s">
        <v>153</v>
      </c>
      <c r="N94" t="s">
        <v>154</v>
      </c>
      <c r="O94" t="s">
        <v>155</v>
      </c>
      <c r="P94" t="s">
        <v>156</v>
      </c>
    </row>
    <row r="95" spans="1:16" x14ac:dyDescent="0.25">
      <c r="A95">
        <v>10944</v>
      </c>
      <c r="B95" t="s">
        <v>149</v>
      </c>
      <c r="C95" s="1">
        <v>35866</v>
      </c>
      <c r="D95" s="1" t="str">
        <f t="shared" si="3"/>
        <v>mar</v>
      </c>
      <c r="E95" s="1" t="str">
        <f t="shared" si="4"/>
        <v>1998</v>
      </c>
      <c r="F95" s="1">
        <v>35880</v>
      </c>
      <c r="G95" s="1">
        <v>35867</v>
      </c>
      <c r="H95">
        <v>3</v>
      </c>
      <c r="I95" t="str">
        <f t="shared" si="5"/>
        <v>DHL</v>
      </c>
      <c r="J95">
        <v>52.92</v>
      </c>
      <c r="K95" t="s">
        <v>78</v>
      </c>
      <c r="L95" t="s">
        <v>152</v>
      </c>
      <c r="M95" t="s">
        <v>153</v>
      </c>
      <c r="N95" t="s">
        <v>154</v>
      </c>
      <c r="O95" t="s">
        <v>155</v>
      </c>
      <c r="P95" t="s">
        <v>156</v>
      </c>
    </row>
    <row r="96" spans="1:16" x14ac:dyDescent="0.25">
      <c r="A96">
        <v>10949</v>
      </c>
      <c r="B96" t="s">
        <v>149</v>
      </c>
      <c r="C96" s="1">
        <v>35867</v>
      </c>
      <c r="D96" s="1" t="str">
        <f t="shared" si="3"/>
        <v>mar</v>
      </c>
      <c r="E96" s="1" t="str">
        <f t="shared" si="4"/>
        <v>1998</v>
      </c>
      <c r="F96" s="1">
        <v>35895</v>
      </c>
      <c r="G96" s="1">
        <v>35871</v>
      </c>
      <c r="H96">
        <v>3</v>
      </c>
      <c r="I96" t="str">
        <f t="shared" si="5"/>
        <v>DHL</v>
      </c>
      <c r="J96">
        <v>74.44</v>
      </c>
      <c r="K96" t="s">
        <v>78</v>
      </c>
      <c r="L96" t="s">
        <v>152</v>
      </c>
      <c r="M96" t="s">
        <v>153</v>
      </c>
      <c r="N96" t="s">
        <v>154</v>
      </c>
      <c r="O96" t="s">
        <v>155</v>
      </c>
      <c r="P96" t="s">
        <v>156</v>
      </c>
    </row>
    <row r="97" spans="1:16" x14ac:dyDescent="0.25">
      <c r="A97">
        <v>10975</v>
      </c>
      <c r="B97" t="s">
        <v>149</v>
      </c>
      <c r="C97" s="1">
        <v>35879</v>
      </c>
      <c r="D97" s="1" t="str">
        <f t="shared" si="3"/>
        <v>mar</v>
      </c>
      <c r="E97" s="1" t="str">
        <f t="shared" si="4"/>
        <v>1998</v>
      </c>
      <c r="F97" s="1">
        <v>35907</v>
      </c>
      <c r="G97" s="1">
        <v>35881</v>
      </c>
      <c r="H97">
        <v>3</v>
      </c>
      <c r="I97" t="str">
        <f t="shared" si="5"/>
        <v>DHL</v>
      </c>
      <c r="J97">
        <v>32.270000000000003</v>
      </c>
      <c r="K97" t="s">
        <v>78</v>
      </c>
      <c r="L97" t="s">
        <v>152</v>
      </c>
      <c r="M97" t="s">
        <v>153</v>
      </c>
      <c r="N97" t="s">
        <v>154</v>
      </c>
      <c r="O97" t="s">
        <v>155</v>
      </c>
      <c r="P97" t="s">
        <v>156</v>
      </c>
    </row>
    <row r="98" spans="1:16" x14ac:dyDescent="0.25">
      <c r="A98">
        <v>10982</v>
      </c>
      <c r="B98" t="s">
        <v>149</v>
      </c>
      <c r="C98" s="1">
        <v>35881</v>
      </c>
      <c r="D98" s="1" t="str">
        <f t="shared" si="3"/>
        <v>mar</v>
      </c>
      <c r="E98" s="1" t="str">
        <f t="shared" si="4"/>
        <v>1998</v>
      </c>
      <c r="F98" s="1">
        <v>35909</v>
      </c>
      <c r="G98" s="1">
        <v>35893</v>
      </c>
      <c r="H98">
        <v>1</v>
      </c>
      <c r="I98" t="str">
        <f t="shared" si="5"/>
        <v>UPS</v>
      </c>
      <c r="J98">
        <v>14.01</v>
      </c>
      <c r="K98" t="s">
        <v>78</v>
      </c>
      <c r="L98" t="s">
        <v>152</v>
      </c>
      <c r="M98" t="s">
        <v>153</v>
      </c>
      <c r="N98" t="s">
        <v>154</v>
      </c>
      <c r="O98" t="s">
        <v>155</v>
      </c>
      <c r="P98" t="s">
        <v>156</v>
      </c>
    </row>
    <row r="99" spans="1:16" x14ac:dyDescent="0.25">
      <c r="A99">
        <v>11027</v>
      </c>
      <c r="B99" t="s">
        <v>149</v>
      </c>
      <c r="C99" s="1">
        <v>35901</v>
      </c>
      <c r="D99" s="1" t="str">
        <f t="shared" si="3"/>
        <v>abr</v>
      </c>
      <c r="E99" s="1" t="str">
        <f t="shared" si="4"/>
        <v>1998</v>
      </c>
      <c r="F99" s="1">
        <v>35929</v>
      </c>
      <c r="G99" s="1">
        <v>35905</v>
      </c>
      <c r="H99">
        <v>1</v>
      </c>
      <c r="I99" t="str">
        <f t="shared" si="5"/>
        <v>UPS</v>
      </c>
      <c r="J99">
        <v>52.52</v>
      </c>
      <c r="K99" t="s">
        <v>78</v>
      </c>
      <c r="L99" t="s">
        <v>152</v>
      </c>
      <c r="M99" t="s">
        <v>153</v>
      </c>
      <c r="N99" t="s">
        <v>154</v>
      </c>
      <c r="O99" t="s">
        <v>155</v>
      </c>
      <c r="P99" t="s">
        <v>156</v>
      </c>
    </row>
    <row r="100" spans="1:16" x14ac:dyDescent="0.25">
      <c r="A100">
        <v>11045</v>
      </c>
      <c r="B100" t="s">
        <v>149</v>
      </c>
      <c r="C100" s="1">
        <v>35908</v>
      </c>
      <c r="D100" s="1" t="str">
        <f t="shared" si="3"/>
        <v>abr</v>
      </c>
      <c r="E100" s="1" t="str">
        <f t="shared" si="4"/>
        <v>1998</v>
      </c>
      <c r="F100" s="1">
        <v>35936</v>
      </c>
      <c r="G100" s="1"/>
      <c r="H100">
        <v>2</v>
      </c>
      <c r="I100" t="str">
        <f t="shared" si="5"/>
        <v>USPS</v>
      </c>
      <c r="J100">
        <v>70.58</v>
      </c>
      <c r="K100" t="s">
        <v>78</v>
      </c>
      <c r="L100" t="s">
        <v>152</v>
      </c>
      <c r="M100" t="s">
        <v>153</v>
      </c>
      <c r="N100" t="s">
        <v>154</v>
      </c>
      <c r="O100" t="s">
        <v>155</v>
      </c>
      <c r="P100" t="s">
        <v>156</v>
      </c>
    </row>
    <row r="101" spans="1:16" x14ac:dyDescent="0.25">
      <c r="A101">
        <v>11048</v>
      </c>
      <c r="B101" t="s">
        <v>149</v>
      </c>
      <c r="C101" s="1">
        <v>35909</v>
      </c>
      <c r="D101" s="1" t="str">
        <f t="shared" si="3"/>
        <v>abr</v>
      </c>
      <c r="E101" s="1" t="str">
        <f t="shared" si="4"/>
        <v>1998</v>
      </c>
      <c r="F101" s="1">
        <v>35937</v>
      </c>
      <c r="G101" s="1">
        <v>35915</v>
      </c>
      <c r="H101">
        <v>3</v>
      </c>
      <c r="I101" t="str">
        <f t="shared" si="5"/>
        <v>DHL</v>
      </c>
      <c r="J101">
        <v>24.12</v>
      </c>
      <c r="K101" t="s">
        <v>78</v>
      </c>
      <c r="L101" t="s">
        <v>152</v>
      </c>
      <c r="M101" t="s">
        <v>153</v>
      </c>
      <c r="N101" t="s">
        <v>154</v>
      </c>
      <c r="O101" t="s">
        <v>155</v>
      </c>
      <c r="P101" t="s">
        <v>156</v>
      </c>
    </row>
    <row r="102" spans="1:16" x14ac:dyDescent="0.25">
      <c r="A102">
        <v>10289</v>
      </c>
      <c r="B102" t="s">
        <v>158</v>
      </c>
      <c r="C102" s="1">
        <v>35303</v>
      </c>
      <c r="D102" s="1" t="str">
        <f t="shared" si="3"/>
        <v>ago</v>
      </c>
      <c r="E102" s="1" t="str">
        <f t="shared" si="4"/>
        <v>1996</v>
      </c>
      <c r="F102" s="1">
        <v>35331</v>
      </c>
      <c r="G102" s="1">
        <v>35305</v>
      </c>
      <c r="H102">
        <v>3</v>
      </c>
      <c r="I102" t="str">
        <f t="shared" si="5"/>
        <v>DHL</v>
      </c>
      <c r="J102">
        <v>22.77</v>
      </c>
      <c r="K102" t="s">
        <v>77</v>
      </c>
      <c r="L102" t="s">
        <v>160</v>
      </c>
      <c r="M102" t="s">
        <v>111</v>
      </c>
      <c r="O102" t="s">
        <v>161</v>
      </c>
      <c r="P102" t="s">
        <v>113</v>
      </c>
    </row>
    <row r="103" spans="1:16" x14ac:dyDescent="0.25">
      <c r="A103">
        <v>10471</v>
      </c>
      <c r="B103" t="s">
        <v>158</v>
      </c>
      <c r="C103" s="1">
        <v>35500</v>
      </c>
      <c r="D103" s="1" t="str">
        <f t="shared" si="3"/>
        <v>mar</v>
      </c>
      <c r="E103" s="1" t="str">
        <f t="shared" si="4"/>
        <v>1997</v>
      </c>
      <c r="F103" s="1">
        <v>35528</v>
      </c>
      <c r="G103" s="1">
        <v>35507</v>
      </c>
      <c r="H103">
        <v>3</v>
      </c>
      <c r="I103" t="str">
        <f t="shared" si="5"/>
        <v>DHL</v>
      </c>
      <c r="J103">
        <v>45.59</v>
      </c>
      <c r="K103" t="s">
        <v>77</v>
      </c>
      <c r="L103" t="s">
        <v>160</v>
      </c>
      <c r="M103" t="s">
        <v>111</v>
      </c>
      <c r="O103" t="s">
        <v>161</v>
      </c>
      <c r="P103" t="s">
        <v>113</v>
      </c>
    </row>
    <row r="104" spans="1:16" x14ac:dyDescent="0.25">
      <c r="A104">
        <v>10484</v>
      </c>
      <c r="B104" t="s">
        <v>158</v>
      </c>
      <c r="C104" s="1">
        <v>35513</v>
      </c>
      <c r="D104" s="1" t="str">
        <f t="shared" si="3"/>
        <v>mar</v>
      </c>
      <c r="E104" s="1" t="str">
        <f t="shared" si="4"/>
        <v>1997</v>
      </c>
      <c r="F104" s="1">
        <v>35541</v>
      </c>
      <c r="G104" s="1">
        <v>35521</v>
      </c>
      <c r="H104">
        <v>3</v>
      </c>
      <c r="I104" t="str">
        <f t="shared" si="5"/>
        <v>DHL</v>
      </c>
      <c r="J104">
        <v>6.88</v>
      </c>
      <c r="K104" t="s">
        <v>77</v>
      </c>
      <c r="L104" t="s">
        <v>160</v>
      </c>
      <c r="M104" t="s">
        <v>111</v>
      </c>
      <c r="O104" t="s">
        <v>161</v>
      </c>
      <c r="P104" t="s">
        <v>113</v>
      </c>
    </row>
    <row r="105" spans="1:16" x14ac:dyDescent="0.25">
      <c r="A105">
        <v>10538</v>
      </c>
      <c r="B105" t="s">
        <v>158</v>
      </c>
      <c r="C105" s="1">
        <v>35565</v>
      </c>
      <c r="D105" s="1" t="str">
        <f t="shared" si="3"/>
        <v>mai</v>
      </c>
      <c r="E105" s="1" t="str">
        <f t="shared" si="4"/>
        <v>1997</v>
      </c>
      <c r="F105" s="1">
        <v>35593</v>
      </c>
      <c r="G105" s="1">
        <v>35566</v>
      </c>
      <c r="H105">
        <v>3</v>
      </c>
      <c r="I105" t="str">
        <f t="shared" si="5"/>
        <v>DHL</v>
      </c>
      <c r="J105">
        <v>4.87</v>
      </c>
      <c r="K105" t="s">
        <v>77</v>
      </c>
      <c r="L105" t="s">
        <v>160</v>
      </c>
      <c r="M105" t="s">
        <v>111</v>
      </c>
      <c r="O105" t="s">
        <v>161</v>
      </c>
      <c r="P105" t="s">
        <v>113</v>
      </c>
    </row>
    <row r="106" spans="1:16" x14ac:dyDescent="0.25">
      <c r="A106">
        <v>10539</v>
      </c>
      <c r="B106" t="s">
        <v>158</v>
      </c>
      <c r="C106" s="1">
        <v>35566</v>
      </c>
      <c r="D106" s="1" t="str">
        <f t="shared" si="3"/>
        <v>mai</v>
      </c>
      <c r="E106" s="1" t="str">
        <f t="shared" si="4"/>
        <v>1997</v>
      </c>
      <c r="F106" s="1">
        <v>35594</v>
      </c>
      <c r="G106" s="1">
        <v>35573</v>
      </c>
      <c r="H106">
        <v>3</v>
      </c>
      <c r="I106" t="str">
        <f t="shared" si="5"/>
        <v>DHL</v>
      </c>
      <c r="J106">
        <v>12.36</v>
      </c>
      <c r="K106" t="s">
        <v>77</v>
      </c>
      <c r="L106" t="s">
        <v>160</v>
      </c>
      <c r="M106" t="s">
        <v>111</v>
      </c>
      <c r="O106" t="s">
        <v>161</v>
      </c>
      <c r="P106" t="s">
        <v>113</v>
      </c>
    </row>
    <row r="107" spans="1:16" x14ac:dyDescent="0.25">
      <c r="A107">
        <v>10578</v>
      </c>
      <c r="B107" t="s">
        <v>158</v>
      </c>
      <c r="C107" s="1">
        <v>35605</v>
      </c>
      <c r="D107" s="1" t="str">
        <f t="shared" si="3"/>
        <v>jun</v>
      </c>
      <c r="E107" s="1" t="str">
        <f t="shared" si="4"/>
        <v>1997</v>
      </c>
      <c r="F107" s="1">
        <v>35633</v>
      </c>
      <c r="G107" s="1">
        <v>35636</v>
      </c>
      <c r="H107">
        <v>3</v>
      </c>
      <c r="I107" t="str">
        <f t="shared" si="5"/>
        <v>DHL</v>
      </c>
      <c r="J107">
        <v>29.6</v>
      </c>
      <c r="K107" t="s">
        <v>77</v>
      </c>
      <c r="L107" t="s">
        <v>160</v>
      </c>
      <c r="M107" t="s">
        <v>111</v>
      </c>
      <c r="O107" t="s">
        <v>161</v>
      </c>
      <c r="P107" t="s">
        <v>113</v>
      </c>
    </row>
    <row r="108" spans="1:16" x14ac:dyDescent="0.25">
      <c r="A108">
        <v>10599</v>
      </c>
      <c r="B108" t="s">
        <v>158</v>
      </c>
      <c r="C108" s="1">
        <v>35626</v>
      </c>
      <c r="D108" s="1" t="str">
        <f t="shared" si="3"/>
        <v>jul</v>
      </c>
      <c r="E108" s="1" t="str">
        <f t="shared" si="4"/>
        <v>1997</v>
      </c>
      <c r="F108" s="1">
        <v>35668</v>
      </c>
      <c r="G108" s="1">
        <v>35632</v>
      </c>
      <c r="H108">
        <v>3</v>
      </c>
      <c r="I108" t="str">
        <f t="shared" si="5"/>
        <v>DHL</v>
      </c>
      <c r="J108">
        <v>29.98</v>
      </c>
      <c r="K108" t="s">
        <v>77</v>
      </c>
      <c r="L108" t="s">
        <v>160</v>
      </c>
      <c r="M108" t="s">
        <v>111</v>
      </c>
      <c r="O108" t="s">
        <v>161</v>
      </c>
      <c r="P108" t="s">
        <v>113</v>
      </c>
    </row>
    <row r="109" spans="1:16" x14ac:dyDescent="0.25">
      <c r="A109">
        <v>10943</v>
      </c>
      <c r="B109" t="s">
        <v>158</v>
      </c>
      <c r="C109" s="1">
        <v>35865</v>
      </c>
      <c r="D109" s="1" t="str">
        <f t="shared" si="3"/>
        <v>mar</v>
      </c>
      <c r="E109" s="1" t="str">
        <f t="shared" si="4"/>
        <v>1998</v>
      </c>
      <c r="F109" s="1">
        <v>35893</v>
      </c>
      <c r="G109" s="1">
        <v>35873</v>
      </c>
      <c r="H109">
        <v>2</v>
      </c>
      <c r="I109" t="str">
        <f t="shared" si="5"/>
        <v>USPS</v>
      </c>
      <c r="J109">
        <v>2.17</v>
      </c>
      <c r="K109" t="s">
        <v>77</v>
      </c>
      <c r="L109" t="s">
        <v>160</v>
      </c>
      <c r="M109" t="s">
        <v>111</v>
      </c>
      <c r="O109" t="s">
        <v>161</v>
      </c>
      <c r="P109" t="s">
        <v>113</v>
      </c>
    </row>
    <row r="110" spans="1:16" x14ac:dyDescent="0.25">
      <c r="A110">
        <v>10947</v>
      </c>
      <c r="B110" t="s">
        <v>158</v>
      </c>
      <c r="C110" s="1">
        <v>35867</v>
      </c>
      <c r="D110" s="1" t="str">
        <f t="shared" si="3"/>
        <v>mar</v>
      </c>
      <c r="E110" s="1" t="str">
        <f t="shared" si="4"/>
        <v>1998</v>
      </c>
      <c r="F110" s="1">
        <v>35895</v>
      </c>
      <c r="G110" s="1">
        <v>35870</v>
      </c>
      <c r="H110">
        <v>2</v>
      </c>
      <c r="I110" t="str">
        <f t="shared" si="5"/>
        <v>USPS</v>
      </c>
      <c r="J110">
        <v>3.26</v>
      </c>
      <c r="K110" t="s">
        <v>77</v>
      </c>
      <c r="L110" t="s">
        <v>160</v>
      </c>
      <c r="M110" t="s">
        <v>111</v>
      </c>
      <c r="O110" t="s">
        <v>161</v>
      </c>
      <c r="P110" t="s">
        <v>113</v>
      </c>
    </row>
    <row r="111" spans="1:16" x14ac:dyDescent="0.25">
      <c r="A111">
        <v>11023</v>
      </c>
      <c r="B111" t="s">
        <v>158</v>
      </c>
      <c r="C111" s="1">
        <v>35899</v>
      </c>
      <c r="D111" s="1" t="str">
        <f t="shared" si="3"/>
        <v>abr</v>
      </c>
      <c r="E111" s="1" t="str">
        <f t="shared" si="4"/>
        <v>1998</v>
      </c>
      <c r="F111" s="1">
        <v>35913</v>
      </c>
      <c r="G111" s="1">
        <v>35909</v>
      </c>
      <c r="H111">
        <v>2</v>
      </c>
      <c r="I111" t="str">
        <f t="shared" si="5"/>
        <v>USPS</v>
      </c>
      <c r="J111">
        <v>123.83</v>
      </c>
      <c r="K111" t="s">
        <v>77</v>
      </c>
      <c r="L111" t="s">
        <v>160</v>
      </c>
      <c r="M111" t="s">
        <v>111</v>
      </c>
      <c r="O111" t="s">
        <v>161</v>
      </c>
      <c r="P111" t="s">
        <v>113</v>
      </c>
    </row>
    <row r="112" spans="1:16" x14ac:dyDescent="0.25">
      <c r="A112">
        <v>10521</v>
      </c>
      <c r="B112" t="s">
        <v>163</v>
      </c>
      <c r="C112" s="1">
        <v>35549</v>
      </c>
      <c r="D112" s="1" t="str">
        <f t="shared" si="3"/>
        <v>abr</v>
      </c>
      <c r="E112" s="1" t="str">
        <f t="shared" si="4"/>
        <v>1997</v>
      </c>
      <c r="F112" s="1">
        <v>35577</v>
      </c>
      <c r="G112" s="1">
        <v>35552</v>
      </c>
      <c r="H112">
        <v>2</v>
      </c>
      <c r="I112" t="str">
        <f t="shared" si="5"/>
        <v>USPS</v>
      </c>
      <c r="J112">
        <v>17.22</v>
      </c>
      <c r="K112" t="s">
        <v>76</v>
      </c>
      <c r="L112" t="s">
        <v>166</v>
      </c>
      <c r="M112" t="s">
        <v>167</v>
      </c>
      <c r="O112" t="s">
        <v>168</v>
      </c>
      <c r="P112" t="s">
        <v>169</v>
      </c>
    </row>
    <row r="113" spans="1:16" x14ac:dyDescent="0.25">
      <c r="A113">
        <v>10782</v>
      </c>
      <c r="B113" t="s">
        <v>163</v>
      </c>
      <c r="C113" s="1">
        <v>35781</v>
      </c>
      <c r="D113" s="1" t="str">
        <f t="shared" si="3"/>
        <v>dez</v>
      </c>
      <c r="E113" s="1" t="str">
        <f t="shared" si="4"/>
        <v>1997</v>
      </c>
      <c r="F113" s="1">
        <v>35809</v>
      </c>
      <c r="G113" s="1">
        <v>35786</v>
      </c>
      <c r="H113">
        <v>3</v>
      </c>
      <c r="I113" t="str">
        <f t="shared" si="5"/>
        <v>DHL</v>
      </c>
      <c r="J113">
        <v>1.1000000000000001</v>
      </c>
      <c r="K113" t="s">
        <v>76</v>
      </c>
      <c r="L113" t="s">
        <v>166</v>
      </c>
      <c r="M113" t="s">
        <v>167</v>
      </c>
      <c r="O113" t="s">
        <v>168</v>
      </c>
      <c r="P113" t="s">
        <v>169</v>
      </c>
    </row>
    <row r="114" spans="1:16" x14ac:dyDescent="0.25">
      <c r="A114">
        <v>10819</v>
      </c>
      <c r="B114" t="s">
        <v>163</v>
      </c>
      <c r="C114" s="1">
        <v>35802</v>
      </c>
      <c r="D114" s="1" t="str">
        <f t="shared" si="3"/>
        <v>jan</v>
      </c>
      <c r="E114" s="1" t="str">
        <f t="shared" si="4"/>
        <v>1998</v>
      </c>
      <c r="F114" s="1">
        <v>35830</v>
      </c>
      <c r="G114" s="1">
        <v>35811</v>
      </c>
      <c r="H114">
        <v>3</v>
      </c>
      <c r="I114" t="str">
        <f t="shared" si="5"/>
        <v>DHL</v>
      </c>
      <c r="J114">
        <v>19.760000000000002</v>
      </c>
      <c r="K114" t="s">
        <v>76</v>
      </c>
      <c r="L114" t="s">
        <v>166</v>
      </c>
      <c r="M114" t="s">
        <v>167</v>
      </c>
      <c r="O114" t="s">
        <v>168</v>
      </c>
      <c r="P114" t="s">
        <v>169</v>
      </c>
    </row>
    <row r="115" spans="1:16" x14ac:dyDescent="0.25">
      <c r="A115">
        <v>10881</v>
      </c>
      <c r="B115" t="s">
        <v>163</v>
      </c>
      <c r="C115" s="1">
        <v>35837</v>
      </c>
      <c r="D115" s="1" t="str">
        <f t="shared" si="3"/>
        <v>fev</v>
      </c>
      <c r="E115" s="1" t="str">
        <f t="shared" si="4"/>
        <v>1998</v>
      </c>
      <c r="F115" s="1">
        <v>35865</v>
      </c>
      <c r="G115" s="1">
        <v>35844</v>
      </c>
      <c r="H115">
        <v>1</v>
      </c>
      <c r="I115" t="str">
        <f t="shared" si="5"/>
        <v>UPS</v>
      </c>
      <c r="J115">
        <v>2.84</v>
      </c>
      <c r="K115" t="s">
        <v>76</v>
      </c>
      <c r="L115" t="s">
        <v>166</v>
      </c>
      <c r="M115" t="s">
        <v>167</v>
      </c>
      <c r="O115" t="s">
        <v>168</v>
      </c>
      <c r="P115" t="s">
        <v>169</v>
      </c>
    </row>
    <row r="116" spans="1:16" x14ac:dyDescent="0.25">
      <c r="A116">
        <v>10937</v>
      </c>
      <c r="B116" t="s">
        <v>163</v>
      </c>
      <c r="C116" s="1">
        <v>35864</v>
      </c>
      <c r="D116" s="1" t="str">
        <f t="shared" si="3"/>
        <v>mar</v>
      </c>
      <c r="E116" s="1" t="str">
        <f t="shared" si="4"/>
        <v>1998</v>
      </c>
      <c r="F116" s="1">
        <v>35878</v>
      </c>
      <c r="G116" s="1">
        <v>35867</v>
      </c>
      <c r="H116">
        <v>3</v>
      </c>
      <c r="I116" t="str">
        <f t="shared" si="5"/>
        <v>DHL</v>
      </c>
      <c r="J116">
        <v>31.51</v>
      </c>
      <c r="K116" t="s">
        <v>76</v>
      </c>
      <c r="L116" t="s">
        <v>166</v>
      </c>
      <c r="M116" t="s">
        <v>167</v>
      </c>
      <c r="O116" t="s">
        <v>168</v>
      </c>
      <c r="P116" t="s">
        <v>169</v>
      </c>
    </row>
    <row r="117" spans="1:16" x14ac:dyDescent="0.25">
      <c r="A117">
        <v>11054</v>
      </c>
      <c r="B117" t="s">
        <v>163</v>
      </c>
      <c r="C117" s="1">
        <v>35913</v>
      </c>
      <c r="D117" s="1" t="str">
        <f t="shared" si="3"/>
        <v>abr</v>
      </c>
      <c r="E117" s="1" t="str">
        <f t="shared" si="4"/>
        <v>1998</v>
      </c>
      <c r="F117" s="1">
        <v>35941</v>
      </c>
      <c r="G117" s="1"/>
      <c r="H117">
        <v>1</v>
      </c>
      <c r="I117" t="str">
        <f t="shared" si="5"/>
        <v>UPS</v>
      </c>
      <c r="J117">
        <v>0.33</v>
      </c>
      <c r="K117" t="s">
        <v>76</v>
      </c>
      <c r="L117" t="s">
        <v>166</v>
      </c>
      <c r="M117" t="s">
        <v>167</v>
      </c>
      <c r="O117" t="s">
        <v>168</v>
      </c>
      <c r="P117" t="s">
        <v>169</v>
      </c>
    </row>
    <row r="118" spans="1:16" x14ac:dyDescent="0.25">
      <c r="A118">
        <v>10259</v>
      </c>
      <c r="B118" t="s">
        <v>171</v>
      </c>
      <c r="C118" s="1">
        <v>35264</v>
      </c>
      <c r="D118" s="1" t="str">
        <f t="shared" si="3"/>
        <v>jul</v>
      </c>
      <c r="E118" s="1" t="str">
        <f t="shared" si="4"/>
        <v>1996</v>
      </c>
      <c r="F118" s="1">
        <v>35292</v>
      </c>
      <c r="G118" s="1">
        <v>35271</v>
      </c>
      <c r="H118">
        <v>3</v>
      </c>
      <c r="I118" t="str">
        <f t="shared" si="5"/>
        <v>DHL</v>
      </c>
      <c r="J118">
        <v>3.25</v>
      </c>
      <c r="K118" t="s">
        <v>75</v>
      </c>
      <c r="L118" t="s">
        <v>173</v>
      </c>
      <c r="M118" t="s">
        <v>100</v>
      </c>
      <c r="O118" t="s">
        <v>174</v>
      </c>
      <c r="P118" t="s">
        <v>102</v>
      </c>
    </row>
    <row r="119" spans="1:16" x14ac:dyDescent="0.25">
      <c r="A119">
        <v>10254</v>
      </c>
      <c r="B119" t="s">
        <v>176</v>
      </c>
      <c r="C119" s="1">
        <v>35257</v>
      </c>
      <c r="D119" s="1" t="str">
        <f t="shared" si="3"/>
        <v>jul</v>
      </c>
      <c r="E119" s="1" t="str">
        <f t="shared" si="4"/>
        <v>1996</v>
      </c>
      <c r="F119" s="1">
        <v>35285</v>
      </c>
      <c r="G119" s="1">
        <v>35269</v>
      </c>
      <c r="H119">
        <v>2</v>
      </c>
      <c r="I119" t="str">
        <f t="shared" si="5"/>
        <v>USPS</v>
      </c>
      <c r="J119">
        <v>22.98</v>
      </c>
      <c r="K119" t="s">
        <v>74</v>
      </c>
      <c r="L119" t="s">
        <v>663</v>
      </c>
      <c r="M119" t="s">
        <v>178</v>
      </c>
      <c r="O119" t="s">
        <v>179</v>
      </c>
      <c r="P119" t="s">
        <v>180</v>
      </c>
    </row>
    <row r="120" spans="1:16" x14ac:dyDescent="0.25">
      <c r="A120">
        <v>10370</v>
      </c>
      <c r="B120" t="s">
        <v>176</v>
      </c>
      <c r="C120" s="1">
        <v>35402</v>
      </c>
      <c r="D120" s="1" t="str">
        <f t="shared" si="3"/>
        <v>dez</v>
      </c>
      <c r="E120" s="1" t="str">
        <f t="shared" si="4"/>
        <v>1996</v>
      </c>
      <c r="F120" s="1">
        <v>35430</v>
      </c>
      <c r="G120" s="1">
        <v>35426</v>
      </c>
      <c r="H120">
        <v>2</v>
      </c>
      <c r="I120" t="str">
        <f t="shared" si="5"/>
        <v>USPS</v>
      </c>
      <c r="J120">
        <v>1.17</v>
      </c>
      <c r="K120" t="s">
        <v>74</v>
      </c>
      <c r="L120" t="s">
        <v>663</v>
      </c>
      <c r="M120" t="s">
        <v>178</v>
      </c>
      <c r="O120" t="s">
        <v>179</v>
      </c>
      <c r="P120" t="s">
        <v>180</v>
      </c>
    </row>
    <row r="121" spans="1:16" x14ac:dyDescent="0.25">
      <c r="A121">
        <v>10519</v>
      </c>
      <c r="B121" t="s">
        <v>176</v>
      </c>
      <c r="C121" s="1">
        <v>35548</v>
      </c>
      <c r="D121" s="1" t="str">
        <f t="shared" si="3"/>
        <v>abr</v>
      </c>
      <c r="E121" s="1" t="str">
        <f t="shared" si="4"/>
        <v>1997</v>
      </c>
      <c r="F121" s="1">
        <v>35576</v>
      </c>
      <c r="G121" s="1">
        <v>35551</v>
      </c>
      <c r="H121">
        <v>3</v>
      </c>
      <c r="I121" t="str">
        <f t="shared" si="5"/>
        <v>DHL</v>
      </c>
      <c r="J121">
        <v>91.76</v>
      </c>
      <c r="K121" t="s">
        <v>74</v>
      </c>
      <c r="L121" t="s">
        <v>663</v>
      </c>
      <c r="M121" t="s">
        <v>178</v>
      </c>
      <c r="O121" t="s">
        <v>179</v>
      </c>
      <c r="P121" t="s">
        <v>180</v>
      </c>
    </row>
    <row r="122" spans="1:16" x14ac:dyDescent="0.25">
      <c r="A122">
        <v>10731</v>
      </c>
      <c r="B122" t="s">
        <v>176</v>
      </c>
      <c r="C122" s="1">
        <v>35740</v>
      </c>
      <c r="D122" s="1" t="str">
        <f t="shared" si="3"/>
        <v>nov</v>
      </c>
      <c r="E122" s="1" t="str">
        <f t="shared" si="4"/>
        <v>1997</v>
      </c>
      <c r="F122" s="1">
        <v>35768</v>
      </c>
      <c r="G122" s="1">
        <v>35748</v>
      </c>
      <c r="H122">
        <v>1</v>
      </c>
      <c r="I122" t="str">
        <f t="shared" si="5"/>
        <v>UPS</v>
      </c>
      <c r="J122">
        <v>96.65</v>
      </c>
      <c r="K122" t="s">
        <v>74</v>
      </c>
      <c r="L122" t="s">
        <v>663</v>
      </c>
      <c r="M122" t="s">
        <v>178</v>
      </c>
      <c r="O122" t="s">
        <v>179</v>
      </c>
      <c r="P122" t="s">
        <v>180</v>
      </c>
    </row>
    <row r="123" spans="1:16" x14ac:dyDescent="0.25">
      <c r="A123">
        <v>10746</v>
      </c>
      <c r="B123" t="s">
        <v>176</v>
      </c>
      <c r="C123" s="1">
        <v>35753</v>
      </c>
      <c r="D123" s="1" t="str">
        <f t="shared" si="3"/>
        <v>nov</v>
      </c>
      <c r="E123" s="1" t="str">
        <f t="shared" si="4"/>
        <v>1997</v>
      </c>
      <c r="F123" s="1">
        <v>35781</v>
      </c>
      <c r="G123" s="1">
        <v>35755</v>
      </c>
      <c r="H123">
        <v>3</v>
      </c>
      <c r="I123" t="str">
        <f t="shared" si="5"/>
        <v>DHL</v>
      </c>
      <c r="J123">
        <v>31.43</v>
      </c>
      <c r="K123" t="s">
        <v>74</v>
      </c>
      <c r="L123" t="s">
        <v>663</v>
      </c>
      <c r="M123" t="s">
        <v>178</v>
      </c>
      <c r="O123" t="s">
        <v>179</v>
      </c>
      <c r="P123" t="s">
        <v>180</v>
      </c>
    </row>
    <row r="124" spans="1:16" x14ac:dyDescent="0.25">
      <c r="A124">
        <v>10966</v>
      </c>
      <c r="B124" t="s">
        <v>176</v>
      </c>
      <c r="C124" s="1">
        <v>35874</v>
      </c>
      <c r="D124" s="1" t="str">
        <f t="shared" si="3"/>
        <v>mar</v>
      </c>
      <c r="E124" s="1" t="str">
        <f t="shared" si="4"/>
        <v>1998</v>
      </c>
      <c r="F124" s="1">
        <v>35902</v>
      </c>
      <c r="G124" s="1">
        <v>35893</v>
      </c>
      <c r="H124">
        <v>1</v>
      </c>
      <c r="I124" t="str">
        <f t="shared" si="5"/>
        <v>UPS</v>
      </c>
      <c r="J124">
        <v>27.19</v>
      </c>
      <c r="K124" t="s">
        <v>74</v>
      </c>
      <c r="L124" t="s">
        <v>663</v>
      </c>
      <c r="M124" t="s">
        <v>178</v>
      </c>
      <c r="O124" t="s">
        <v>179</v>
      </c>
      <c r="P124" t="s">
        <v>180</v>
      </c>
    </row>
    <row r="125" spans="1:16" x14ac:dyDescent="0.25">
      <c r="A125">
        <v>11029</v>
      </c>
      <c r="B125" t="s">
        <v>176</v>
      </c>
      <c r="C125" s="1">
        <v>35901</v>
      </c>
      <c r="D125" s="1" t="str">
        <f t="shared" si="3"/>
        <v>abr</v>
      </c>
      <c r="E125" s="1" t="str">
        <f t="shared" si="4"/>
        <v>1998</v>
      </c>
      <c r="F125" s="1">
        <v>35929</v>
      </c>
      <c r="G125" s="1">
        <v>35912</v>
      </c>
      <c r="H125">
        <v>1</v>
      </c>
      <c r="I125" t="str">
        <f t="shared" si="5"/>
        <v>UPS</v>
      </c>
      <c r="J125">
        <v>47.84</v>
      </c>
      <c r="K125" t="s">
        <v>74</v>
      </c>
      <c r="L125" t="s">
        <v>663</v>
      </c>
      <c r="M125" t="s">
        <v>178</v>
      </c>
      <c r="O125" t="s">
        <v>179</v>
      </c>
      <c r="P125" t="s">
        <v>180</v>
      </c>
    </row>
    <row r="126" spans="1:16" x14ac:dyDescent="0.25">
      <c r="A126">
        <v>11041</v>
      </c>
      <c r="B126" t="s">
        <v>176</v>
      </c>
      <c r="C126" s="1">
        <v>35907</v>
      </c>
      <c r="D126" s="1" t="str">
        <f t="shared" si="3"/>
        <v>abr</v>
      </c>
      <c r="E126" s="1" t="str">
        <f t="shared" si="4"/>
        <v>1998</v>
      </c>
      <c r="F126" s="1">
        <v>35935</v>
      </c>
      <c r="G126" s="1">
        <v>35913</v>
      </c>
      <c r="H126">
        <v>2</v>
      </c>
      <c r="I126" t="str">
        <f t="shared" si="5"/>
        <v>USPS</v>
      </c>
      <c r="J126">
        <v>48.22</v>
      </c>
      <c r="K126" t="s">
        <v>74</v>
      </c>
      <c r="L126" t="s">
        <v>663</v>
      </c>
      <c r="M126" t="s">
        <v>178</v>
      </c>
      <c r="O126" t="s">
        <v>179</v>
      </c>
      <c r="P126" t="s">
        <v>180</v>
      </c>
    </row>
    <row r="127" spans="1:16" x14ac:dyDescent="0.25">
      <c r="A127">
        <v>10290</v>
      </c>
      <c r="B127" t="s">
        <v>182</v>
      </c>
      <c r="C127" s="1">
        <v>35304</v>
      </c>
      <c r="D127" s="1" t="str">
        <f t="shared" si="3"/>
        <v>ago</v>
      </c>
      <c r="E127" s="1" t="str">
        <f t="shared" si="4"/>
        <v>1996</v>
      </c>
      <c r="F127" s="1">
        <v>35332</v>
      </c>
      <c r="G127" s="1">
        <v>35311</v>
      </c>
      <c r="H127">
        <v>1</v>
      </c>
      <c r="I127" t="str">
        <f t="shared" si="5"/>
        <v>UPS</v>
      </c>
      <c r="J127">
        <v>79.7</v>
      </c>
      <c r="K127" t="s">
        <v>73</v>
      </c>
      <c r="L127" t="s">
        <v>185</v>
      </c>
      <c r="M127" t="s">
        <v>186</v>
      </c>
      <c r="N127" t="s">
        <v>187</v>
      </c>
      <c r="O127" t="s">
        <v>188</v>
      </c>
      <c r="P127" t="s">
        <v>189</v>
      </c>
    </row>
    <row r="128" spans="1:16" x14ac:dyDescent="0.25">
      <c r="A128">
        <v>10466</v>
      </c>
      <c r="B128" t="s">
        <v>182</v>
      </c>
      <c r="C128" s="1">
        <v>35495</v>
      </c>
      <c r="D128" s="1" t="str">
        <f t="shared" si="3"/>
        <v>mar</v>
      </c>
      <c r="E128" s="1" t="str">
        <f t="shared" si="4"/>
        <v>1997</v>
      </c>
      <c r="F128" s="1">
        <v>35523</v>
      </c>
      <c r="G128" s="1">
        <v>35502</v>
      </c>
      <c r="H128">
        <v>1</v>
      </c>
      <c r="I128" t="str">
        <f t="shared" si="5"/>
        <v>UPS</v>
      </c>
      <c r="J128">
        <v>11.93</v>
      </c>
      <c r="K128" t="s">
        <v>73</v>
      </c>
      <c r="L128" t="s">
        <v>185</v>
      </c>
      <c r="M128" t="s">
        <v>186</v>
      </c>
      <c r="N128" t="s">
        <v>187</v>
      </c>
      <c r="O128" t="s">
        <v>188</v>
      </c>
      <c r="P128" t="s">
        <v>189</v>
      </c>
    </row>
    <row r="129" spans="1:16" x14ac:dyDescent="0.25">
      <c r="A129">
        <v>10494</v>
      </c>
      <c r="B129" t="s">
        <v>182</v>
      </c>
      <c r="C129" s="1">
        <v>35522</v>
      </c>
      <c r="D129" s="1" t="str">
        <f t="shared" si="3"/>
        <v>abr</v>
      </c>
      <c r="E129" s="1" t="str">
        <f t="shared" si="4"/>
        <v>1997</v>
      </c>
      <c r="F129" s="1">
        <v>35550</v>
      </c>
      <c r="G129" s="1">
        <v>35529</v>
      </c>
      <c r="H129">
        <v>2</v>
      </c>
      <c r="I129" t="str">
        <f t="shared" si="5"/>
        <v>USPS</v>
      </c>
      <c r="J129">
        <v>65.989999999999995</v>
      </c>
      <c r="K129" t="s">
        <v>73</v>
      </c>
      <c r="L129" t="s">
        <v>185</v>
      </c>
      <c r="M129" t="s">
        <v>186</v>
      </c>
      <c r="N129" t="s">
        <v>187</v>
      </c>
      <c r="O129" t="s">
        <v>188</v>
      </c>
      <c r="P129" t="s">
        <v>189</v>
      </c>
    </row>
    <row r="130" spans="1:16" x14ac:dyDescent="0.25">
      <c r="A130">
        <v>10969</v>
      </c>
      <c r="B130" t="s">
        <v>182</v>
      </c>
      <c r="C130" s="1">
        <v>35877</v>
      </c>
      <c r="D130" s="1" t="str">
        <f t="shared" si="3"/>
        <v>mar</v>
      </c>
      <c r="E130" s="1" t="str">
        <f t="shared" si="4"/>
        <v>1998</v>
      </c>
      <c r="F130" s="1">
        <v>35905</v>
      </c>
      <c r="G130" s="1">
        <v>35884</v>
      </c>
      <c r="H130">
        <v>2</v>
      </c>
      <c r="I130" t="str">
        <f t="shared" si="5"/>
        <v>USPS</v>
      </c>
      <c r="J130">
        <v>0.21</v>
      </c>
      <c r="K130" t="s">
        <v>73</v>
      </c>
      <c r="L130" t="s">
        <v>185</v>
      </c>
      <c r="M130" t="s">
        <v>186</v>
      </c>
      <c r="N130" t="s">
        <v>187</v>
      </c>
      <c r="O130" t="s">
        <v>188</v>
      </c>
      <c r="P130" t="s">
        <v>189</v>
      </c>
    </row>
    <row r="131" spans="1:16" x14ac:dyDescent="0.25">
      <c r="A131">
        <v>11042</v>
      </c>
      <c r="B131" t="s">
        <v>182</v>
      </c>
      <c r="C131" s="1">
        <v>35907</v>
      </c>
      <c r="D131" s="1" t="str">
        <f t="shared" ref="D131:D194" si="6">TEXT(C131,"mmm")</f>
        <v>abr</v>
      </c>
      <c r="E131" s="1" t="str">
        <f t="shared" ref="E131:E194" si="7">TEXT(C131,"aaa")</f>
        <v>1998</v>
      </c>
      <c r="F131" s="1">
        <v>35921</v>
      </c>
      <c r="G131" s="1">
        <v>35916</v>
      </c>
      <c r="H131">
        <v>1</v>
      </c>
      <c r="I131" t="str">
        <f t="shared" ref="I131:I194" si="8">CHOOSE(H131,"UPS","USPS","DHL")</f>
        <v>UPS</v>
      </c>
      <c r="J131">
        <v>29.99</v>
      </c>
      <c r="K131" t="s">
        <v>73</v>
      </c>
      <c r="L131" t="s">
        <v>185</v>
      </c>
      <c r="M131" t="s">
        <v>186</v>
      </c>
      <c r="N131" t="s">
        <v>187</v>
      </c>
      <c r="O131" t="s">
        <v>188</v>
      </c>
      <c r="P131" t="s">
        <v>189</v>
      </c>
    </row>
    <row r="132" spans="1:16" x14ac:dyDescent="0.25">
      <c r="A132">
        <v>10435</v>
      </c>
      <c r="B132" t="s">
        <v>191</v>
      </c>
      <c r="C132" s="1">
        <v>35465</v>
      </c>
      <c r="D132" s="1" t="str">
        <f t="shared" si="6"/>
        <v>fev</v>
      </c>
      <c r="E132" s="1" t="str">
        <f t="shared" si="7"/>
        <v>1997</v>
      </c>
      <c r="F132" s="1">
        <v>35507</v>
      </c>
      <c r="G132" s="1">
        <v>35468</v>
      </c>
      <c r="H132">
        <v>2</v>
      </c>
      <c r="I132" t="str">
        <f t="shared" si="8"/>
        <v>USPS</v>
      </c>
      <c r="J132">
        <v>9.2100000000000009</v>
      </c>
      <c r="K132" t="s">
        <v>72</v>
      </c>
      <c r="L132" t="s">
        <v>193</v>
      </c>
      <c r="M132" t="s">
        <v>111</v>
      </c>
      <c r="O132" t="s">
        <v>194</v>
      </c>
      <c r="P132" t="s">
        <v>113</v>
      </c>
    </row>
    <row r="133" spans="1:16" x14ac:dyDescent="0.25">
      <c r="A133">
        <v>10462</v>
      </c>
      <c r="B133" t="s">
        <v>191</v>
      </c>
      <c r="C133" s="1">
        <v>35492</v>
      </c>
      <c r="D133" s="1" t="str">
        <f t="shared" si="6"/>
        <v>mar</v>
      </c>
      <c r="E133" s="1" t="str">
        <f t="shared" si="7"/>
        <v>1997</v>
      </c>
      <c r="F133" s="1">
        <v>35520</v>
      </c>
      <c r="G133" s="1">
        <v>35507</v>
      </c>
      <c r="H133">
        <v>1</v>
      </c>
      <c r="I133" t="str">
        <f t="shared" si="8"/>
        <v>UPS</v>
      </c>
      <c r="J133">
        <v>6.17</v>
      </c>
      <c r="K133" t="s">
        <v>72</v>
      </c>
      <c r="L133" t="s">
        <v>193</v>
      </c>
      <c r="M133" t="s">
        <v>111</v>
      </c>
      <c r="O133" t="s">
        <v>194</v>
      </c>
      <c r="P133" t="s">
        <v>113</v>
      </c>
    </row>
    <row r="134" spans="1:16" x14ac:dyDescent="0.25">
      <c r="A134">
        <v>10848</v>
      </c>
      <c r="B134" t="s">
        <v>191</v>
      </c>
      <c r="C134" s="1">
        <v>35818</v>
      </c>
      <c r="D134" s="1" t="str">
        <f t="shared" si="6"/>
        <v>jan</v>
      </c>
      <c r="E134" s="1" t="str">
        <f t="shared" si="7"/>
        <v>1998</v>
      </c>
      <c r="F134" s="1">
        <v>35846</v>
      </c>
      <c r="G134" s="1">
        <v>35824</v>
      </c>
      <c r="H134">
        <v>2</v>
      </c>
      <c r="I134" t="str">
        <f t="shared" si="8"/>
        <v>USPS</v>
      </c>
      <c r="J134">
        <v>38.24</v>
      </c>
      <c r="K134" t="s">
        <v>72</v>
      </c>
      <c r="L134" t="s">
        <v>193</v>
      </c>
      <c r="M134" t="s">
        <v>111</v>
      </c>
      <c r="O134" t="s">
        <v>194</v>
      </c>
      <c r="P134" t="s">
        <v>113</v>
      </c>
    </row>
    <row r="135" spans="1:16" x14ac:dyDescent="0.25">
      <c r="A135">
        <v>10363</v>
      </c>
      <c r="B135" t="s">
        <v>196</v>
      </c>
      <c r="C135" s="1">
        <v>35395</v>
      </c>
      <c r="D135" s="1" t="str">
        <f t="shared" si="6"/>
        <v>nov</v>
      </c>
      <c r="E135" s="1" t="str">
        <f t="shared" si="7"/>
        <v>1996</v>
      </c>
      <c r="F135" s="1">
        <v>35423</v>
      </c>
      <c r="G135" s="1">
        <v>35403</v>
      </c>
      <c r="H135">
        <v>3</v>
      </c>
      <c r="I135" t="str">
        <f t="shared" si="8"/>
        <v>DHL</v>
      </c>
      <c r="J135">
        <v>30.54</v>
      </c>
      <c r="K135" t="s">
        <v>71</v>
      </c>
      <c r="L135" t="s">
        <v>198</v>
      </c>
      <c r="M135" t="s">
        <v>199</v>
      </c>
      <c r="O135" t="s">
        <v>200</v>
      </c>
      <c r="P135" t="s">
        <v>94</v>
      </c>
    </row>
    <row r="136" spans="1:16" x14ac:dyDescent="0.25">
      <c r="A136">
        <v>10391</v>
      </c>
      <c r="B136" t="s">
        <v>196</v>
      </c>
      <c r="C136" s="1">
        <v>35422</v>
      </c>
      <c r="D136" s="1" t="str">
        <f t="shared" si="6"/>
        <v>dez</v>
      </c>
      <c r="E136" s="1" t="str">
        <f t="shared" si="7"/>
        <v>1996</v>
      </c>
      <c r="F136" s="1">
        <v>35450</v>
      </c>
      <c r="G136" s="1">
        <v>35430</v>
      </c>
      <c r="H136">
        <v>3</v>
      </c>
      <c r="I136" t="str">
        <f t="shared" si="8"/>
        <v>DHL</v>
      </c>
      <c r="J136">
        <v>5.45</v>
      </c>
      <c r="K136" t="s">
        <v>71</v>
      </c>
      <c r="L136" t="s">
        <v>198</v>
      </c>
      <c r="M136" t="s">
        <v>199</v>
      </c>
      <c r="O136" t="s">
        <v>200</v>
      </c>
      <c r="P136" t="s">
        <v>94</v>
      </c>
    </row>
    <row r="137" spans="1:16" x14ac:dyDescent="0.25">
      <c r="A137">
        <v>10797</v>
      </c>
      <c r="B137" t="s">
        <v>196</v>
      </c>
      <c r="C137" s="1">
        <v>35789</v>
      </c>
      <c r="D137" s="1" t="str">
        <f t="shared" si="6"/>
        <v>dez</v>
      </c>
      <c r="E137" s="1" t="str">
        <f t="shared" si="7"/>
        <v>1997</v>
      </c>
      <c r="F137" s="1">
        <v>35817</v>
      </c>
      <c r="G137" s="1">
        <v>35800</v>
      </c>
      <c r="H137">
        <v>2</v>
      </c>
      <c r="I137" t="str">
        <f t="shared" si="8"/>
        <v>USPS</v>
      </c>
      <c r="J137">
        <v>33.35</v>
      </c>
      <c r="K137" t="s">
        <v>71</v>
      </c>
      <c r="L137" t="s">
        <v>198</v>
      </c>
      <c r="M137" t="s">
        <v>199</v>
      </c>
      <c r="O137" t="s">
        <v>200</v>
      </c>
      <c r="P137" t="s">
        <v>94</v>
      </c>
    </row>
    <row r="138" spans="1:16" x14ac:dyDescent="0.25">
      <c r="A138">
        <v>10825</v>
      </c>
      <c r="B138" t="s">
        <v>196</v>
      </c>
      <c r="C138" s="1">
        <v>35804</v>
      </c>
      <c r="D138" s="1" t="str">
        <f t="shared" si="6"/>
        <v>jan</v>
      </c>
      <c r="E138" s="1" t="str">
        <f t="shared" si="7"/>
        <v>1998</v>
      </c>
      <c r="F138" s="1">
        <v>35832</v>
      </c>
      <c r="G138" s="1">
        <v>35809</v>
      </c>
      <c r="H138">
        <v>1</v>
      </c>
      <c r="I138" t="str">
        <f t="shared" si="8"/>
        <v>UPS</v>
      </c>
      <c r="J138">
        <v>79.25</v>
      </c>
      <c r="K138" t="s">
        <v>71</v>
      </c>
      <c r="L138" t="s">
        <v>198</v>
      </c>
      <c r="M138" t="s">
        <v>199</v>
      </c>
      <c r="O138" t="s">
        <v>200</v>
      </c>
      <c r="P138" t="s">
        <v>94</v>
      </c>
    </row>
    <row r="139" spans="1:16" x14ac:dyDescent="0.25">
      <c r="A139">
        <v>11036</v>
      </c>
      <c r="B139" t="s">
        <v>196</v>
      </c>
      <c r="C139" s="1">
        <v>35905</v>
      </c>
      <c r="D139" s="1" t="str">
        <f t="shared" si="6"/>
        <v>abr</v>
      </c>
      <c r="E139" s="1" t="str">
        <f t="shared" si="7"/>
        <v>1998</v>
      </c>
      <c r="F139" s="1">
        <v>35933</v>
      </c>
      <c r="G139" s="1">
        <v>35907</v>
      </c>
      <c r="H139">
        <v>3</v>
      </c>
      <c r="I139" t="str">
        <f t="shared" si="8"/>
        <v>DHL</v>
      </c>
      <c r="J139">
        <v>149.47</v>
      </c>
      <c r="K139" t="s">
        <v>71</v>
      </c>
      <c r="L139" t="s">
        <v>198</v>
      </c>
      <c r="M139" t="s">
        <v>199</v>
      </c>
      <c r="O139" t="s">
        <v>200</v>
      </c>
      <c r="P139" t="s">
        <v>94</v>
      </c>
    </row>
    <row r="140" spans="1:16" x14ac:dyDescent="0.25">
      <c r="A140">
        <v>11067</v>
      </c>
      <c r="B140" t="s">
        <v>196</v>
      </c>
      <c r="C140" s="1">
        <v>35919</v>
      </c>
      <c r="D140" s="1" t="str">
        <f t="shared" si="6"/>
        <v>mai</v>
      </c>
      <c r="E140" s="1" t="str">
        <f t="shared" si="7"/>
        <v>1998</v>
      </c>
      <c r="F140" s="1">
        <v>35933</v>
      </c>
      <c r="G140" s="1">
        <v>35921</v>
      </c>
      <c r="H140">
        <v>2</v>
      </c>
      <c r="I140" t="str">
        <f t="shared" si="8"/>
        <v>USPS</v>
      </c>
      <c r="J140">
        <v>7.98</v>
      </c>
      <c r="K140" t="s">
        <v>71</v>
      </c>
      <c r="L140" t="s">
        <v>198</v>
      </c>
      <c r="M140" t="s">
        <v>199</v>
      </c>
      <c r="O140" t="s">
        <v>200</v>
      </c>
      <c r="P140" t="s">
        <v>94</v>
      </c>
    </row>
    <row r="141" spans="1:16" x14ac:dyDescent="0.25">
      <c r="A141">
        <v>10311</v>
      </c>
      <c r="B141" t="s">
        <v>202</v>
      </c>
      <c r="C141" s="1">
        <v>35328</v>
      </c>
      <c r="D141" s="1" t="str">
        <f t="shared" si="6"/>
        <v>set</v>
      </c>
      <c r="E141" s="1" t="str">
        <f t="shared" si="7"/>
        <v>1996</v>
      </c>
      <c r="F141" s="1">
        <v>35342</v>
      </c>
      <c r="G141" s="1">
        <v>35334</v>
      </c>
      <c r="H141">
        <v>3</v>
      </c>
      <c r="I141" t="str">
        <f t="shared" si="8"/>
        <v>DHL</v>
      </c>
      <c r="J141">
        <v>24.69</v>
      </c>
      <c r="K141" t="s">
        <v>70</v>
      </c>
      <c r="L141" t="s">
        <v>204</v>
      </c>
      <c r="M141" t="s">
        <v>205</v>
      </c>
      <c r="O141" t="s">
        <v>206</v>
      </c>
      <c r="P141" t="s">
        <v>134</v>
      </c>
    </row>
    <row r="142" spans="1:16" x14ac:dyDescent="0.25">
      <c r="A142">
        <v>10609</v>
      </c>
      <c r="B142" t="s">
        <v>202</v>
      </c>
      <c r="C142" s="1">
        <v>35635</v>
      </c>
      <c r="D142" s="1" t="str">
        <f t="shared" si="6"/>
        <v>jul</v>
      </c>
      <c r="E142" s="1" t="str">
        <f t="shared" si="7"/>
        <v>1997</v>
      </c>
      <c r="F142" s="1">
        <v>35663</v>
      </c>
      <c r="G142" s="1">
        <v>35641</v>
      </c>
      <c r="H142">
        <v>2</v>
      </c>
      <c r="I142" t="str">
        <f t="shared" si="8"/>
        <v>USPS</v>
      </c>
      <c r="J142">
        <v>1.85</v>
      </c>
      <c r="K142" t="s">
        <v>70</v>
      </c>
      <c r="L142" t="s">
        <v>204</v>
      </c>
      <c r="M142" t="s">
        <v>205</v>
      </c>
      <c r="O142" t="s">
        <v>206</v>
      </c>
      <c r="P142" t="s">
        <v>134</v>
      </c>
    </row>
    <row r="143" spans="1:16" x14ac:dyDescent="0.25">
      <c r="A143">
        <v>10683</v>
      </c>
      <c r="B143" t="s">
        <v>202</v>
      </c>
      <c r="C143" s="1">
        <v>35699</v>
      </c>
      <c r="D143" s="1" t="str">
        <f t="shared" si="6"/>
        <v>set</v>
      </c>
      <c r="E143" s="1" t="str">
        <f t="shared" si="7"/>
        <v>1997</v>
      </c>
      <c r="F143" s="1">
        <v>35727</v>
      </c>
      <c r="G143" s="1">
        <v>35704</v>
      </c>
      <c r="H143">
        <v>1</v>
      </c>
      <c r="I143" t="str">
        <f t="shared" si="8"/>
        <v>UPS</v>
      </c>
      <c r="J143">
        <v>4.4000000000000004</v>
      </c>
      <c r="K143" t="s">
        <v>70</v>
      </c>
      <c r="L143" t="s">
        <v>204</v>
      </c>
      <c r="M143" t="s">
        <v>205</v>
      </c>
      <c r="O143" t="s">
        <v>206</v>
      </c>
      <c r="P143" t="s">
        <v>134</v>
      </c>
    </row>
    <row r="144" spans="1:16" x14ac:dyDescent="0.25">
      <c r="A144">
        <v>10890</v>
      </c>
      <c r="B144" t="s">
        <v>202</v>
      </c>
      <c r="C144" s="1">
        <v>35842</v>
      </c>
      <c r="D144" s="1" t="str">
        <f t="shared" si="6"/>
        <v>fev</v>
      </c>
      <c r="E144" s="1" t="str">
        <f t="shared" si="7"/>
        <v>1998</v>
      </c>
      <c r="F144" s="1">
        <v>35870</v>
      </c>
      <c r="G144" s="1">
        <v>35844</v>
      </c>
      <c r="H144">
        <v>1</v>
      </c>
      <c r="I144" t="str">
        <f t="shared" si="8"/>
        <v>UPS</v>
      </c>
      <c r="J144">
        <v>32.76</v>
      </c>
      <c r="K144" t="s">
        <v>70</v>
      </c>
      <c r="L144" t="s">
        <v>204</v>
      </c>
      <c r="M144" t="s">
        <v>205</v>
      </c>
      <c r="O144" t="s">
        <v>206</v>
      </c>
      <c r="P144" t="s">
        <v>134</v>
      </c>
    </row>
    <row r="145" spans="1:16" x14ac:dyDescent="0.25">
      <c r="A145">
        <v>10364</v>
      </c>
      <c r="B145" t="s">
        <v>208</v>
      </c>
      <c r="C145" s="1">
        <v>35395</v>
      </c>
      <c r="D145" s="1" t="str">
        <f t="shared" si="6"/>
        <v>nov</v>
      </c>
      <c r="E145" s="1" t="str">
        <f t="shared" si="7"/>
        <v>1996</v>
      </c>
      <c r="F145" s="1">
        <v>35437</v>
      </c>
      <c r="G145" s="1">
        <v>35403</v>
      </c>
      <c r="H145">
        <v>1</v>
      </c>
      <c r="I145" t="str">
        <f t="shared" si="8"/>
        <v>UPS</v>
      </c>
      <c r="J145">
        <v>71.97</v>
      </c>
      <c r="K145" t="s">
        <v>69</v>
      </c>
      <c r="L145" t="s">
        <v>209</v>
      </c>
      <c r="M145" t="s">
        <v>111</v>
      </c>
      <c r="O145" t="s">
        <v>210</v>
      </c>
      <c r="P145" t="s">
        <v>113</v>
      </c>
    </row>
    <row r="146" spans="1:16" x14ac:dyDescent="0.25">
      <c r="A146">
        <v>10400</v>
      </c>
      <c r="B146" t="s">
        <v>208</v>
      </c>
      <c r="C146" s="1">
        <v>35431</v>
      </c>
      <c r="D146" s="1" t="str">
        <f t="shared" si="6"/>
        <v>jan</v>
      </c>
      <c r="E146" s="1" t="str">
        <f t="shared" si="7"/>
        <v>1997</v>
      </c>
      <c r="F146" s="1">
        <v>35459</v>
      </c>
      <c r="G146" s="1">
        <v>35446</v>
      </c>
      <c r="H146">
        <v>3</v>
      </c>
      <c r="I146" t="str">
        <f t="shared" si="8"/>
        <v>DHL</v>
      </c>
      <c r="J146">
        <v>83.93</v>
      </c>
      <c r="K146" t="s">
        <v>69</v>
      </c>
      <c r="L146" t="s">
        <v>209</v>
      </c>
      <c r="M146" t="s">
        <v>111</v>
      </c>
      <c r="O146" t="s">
        <v>210</v>
      </c>
      <c r="P146" t="s">
        <v>113</v>
      </c>
    </row>
    <row r="147" spans="1:16" x14ac:dyDescent="0.25">
      <c r="A147">
        <v>10532</v>
      </c>
      <c r="B147" t="s">
        <v>208</v>
      </c>
      <c r="C147" s="1">
        <v>35559</v>
      </c>
      <c r="D147" s="1" t="str">
        <f t="shared" si="6"/>
        <v>mai</v>
      </c>
      <c r="E147" s="1" t="str">
        <f t="shared" si="7"/>
        <v>1997</v>
      </c>
      <c r="F147" s="1">
        <v>35587</v>
      </c>
      <c r="G147" s="1">
        <v>35562</v>
      </c>
      <c r="H147">
        <v>3</v>
      </c>
      <c r="I147" t="str">
        <f t="shared" si="8"/>
        <v>DHL</v>
      </c>
      <c r="J147">
        <v>74.459999999999994</v>
      </c>
      <c r="K147" t="s">
        <v>69</v>
      </c>
      <c r="L147" t="s">
        <v>209</v>
      </c>
      <c r="M147" t="s">
        <v>111</v>
      </c>
      <c r="O147" t="s">
        <v>210</v>
      </c>
      <c r="P147" t="s">
        <v>113</v>
      </c>
    </row>
    <row r="148" spans="1:16" x14ac:dyDescent="0.25">
      <c r="A148">
        <v>10726</v>
      </c>
      <c r="B148" t="s">
        <v>208</v>
      </c>
      <c r="C148" s="1">
        <v>35737</v>
      </c>
      <c r="D148" s="1" t="str">
        <f t="shared" si="6"/>
        <v>nov</v>
      </c>
      <c r="E148" s="1" t="str">
        <f t="shared" si="7"/>
        <v>1997</v>
      </c>
      <c r="F148" s="1">
        <v>35751</v>
      </c>
      <c r="G148" s="1">
        <v>35769</v>
      </c>
      <c r="H148">
        <v>1</v>
      </c>
      <c r="I148" t="str">
        <f t="shared" si="8"/>
        <v>UPS</v>
      </c>
      <c r="J148">
        <v>16.559999999999999</v>
      </c>
      <c r="K148" t="s">
        <v>69</v>
      </c>
      <c r="L148" t="s">
        <v>209</v>
      </c>
      <c r="M148" t="s">
        <v>111</v>
      </c>
      <c r="O148" t="s">
        <v>210</v>
      </c>
      <c r="P148" t="s">
        <v>113</v>
      </c>
    </row>
    <row r="149" spans="1:16" x14ac:dyDescent="0.25">
      <c r="A149">
        <v>10987</v>
      </c>
      <c r="B149" t="s">
        <v>208</v>
      </c>
      <c r="C149" s="1">
        <v>35885</v>
      </c>
      <c r="D149" s="1" t="str">
        <f t="shared" si="6"/>
        <v>mar</v>
      </c>
      <c r="E149" s="1" t="str">
        <f t="shared" si="7"/>
        <v>1998</v>
      </c>
      <c r="F149" s="1">
        <v>35913</v>
      </c>
      <c r="G149" s="1">
        <v>35891</v>
      </c>
      <c r="H149">
        <v>1</v>
      </c>
      <c r="I149" t="str">
        <f t="shared" si="8"/>
        <v>UPS</v>
      </c>
      <c r="J149">
        <v>185.48</v>
      </c>
      <c r="K149" t="s">
        <v>69</v>
      </c>
      <c r="L149" t="s">
        <v>209</v>
      </c>
      <c r="M149" t="s">
        <v>111</v>
      </c>
      <c r="O149" t="s">
        <v>210</v>
      </c>
      <c r="P149" t="s">
        <v>113</v>
      </c>
    </row>
    <row r="150" spans="1:16" x14ac:dyDescent="0.25">
      <c r="A150">
        <v>11024</v>
      </c>
      <c r="B150" t="s">
        <v>208</v>
      </c>
      <c r="C150" s="1">
        <v>35900</v>
      </c>
      <c r="D150" s="1" t="str">
        <f t="shared" si="6"/>
        <v>abr</v>
      </c>
      <c r="E150" s="1" t="str">
        <f t="shared" si="7"/>
        <v>1998</v>
      </c>
      <c r="F150" s="1">
        <v>35928</v>
      </c>
      <c r="G150" s="1">
        <v>35905</v>
      </c>
      <c r="H150">
        <v>1</v>
      </c>
      <c r="I150" t="str">
        <f t="shared" si="8"/>
        <v>UPS</v>
      </c>
      <c r="J150">
        <v>74.36</v>
      </c>
      <c r="K150" t="s">
        <v>69</v>
      </c>
      <c r="L150" t="s">
        <v>209</v>
      </c>
      <c r="M150" t="s">
        <v>111</v>
      </c>
      <c r="O150" t="s">
        <v>210</v>
      </c>
      <c r="P150" t="s">
        <v>113</v>
      </c>
    </row>
    <row r="151" spans="1:16" x14ac:dyDescent="0.25">
      <c r="A151">
        <v>11047</v>
      </c>
      <c r="B151" t="s">
        <v>208</v>
      </c>
      <c r="C151" s="1">
        <v>35909</v>
      </c>
      <c r="D151" s="1" t="str">
        <f t="shared" si="6"/>
        <v>abr</v>
      </c>
      <c r="E151" s="1" t="str">
        <f t="shared" si="7"/>
        <v>1998</v>
      </c>
      <c r="F151" s="1">
        <v>35937</v>
      </c>
      <c r="G151" s="1">
        <v>35916</v>
      </c>
      <c r="H151">
        <v>3</v>
      </c>
      <c r="I151" t="str">
        <f t="shared" si="8"/>
        <v>DHL</v>
      </c>
      <c r="J151">
        <v>46.62</v>
      </c>
      <c r="K151" t="s">
        <v>69</v>
      </c>
      <c r="L151" t="s">
        <v>209</v>
      </c>
      <c r="M151" t="s">
        <v>111</v>
      </c>
      <c r="O151" t="s">
        <v>210</v>
      </c>
      <c r="P151" t="s">
        <v>113</v>
      </c>
    </row>
    <row r="152" spans="1:16" x14ac:dyDescent="0.25">
      <c r="A152">
        <v>11056</v>
      </c>
      <c r="B152" t="s">
        <v>208</v>
      </c>
      <c r="C152" s="1">
        <v>35913</v>
      </c>
      <c r="D152" s="1" t="str">
        <f t="shared" si="6"/>
        <v>abr</v>
      </c>
      <c r="E152" s="1" t="str">
        <f t="shared" si="7"/>
        <v>1998</v>
      </c>
      <c r="F152" s="1">
        <v>35927</v>
      </c>
      <c r="G152" s="1">
        <v>35916</v>
      </c>
      <c r="H152">
        <v>2</v>
      </c>
      <c r="I152" t="str">
        <f t="shared" si="8"/>
        <v>USPS</v>
      </c>
      <c r="J152">
        <v>278.95999999999998</v>
      </c>
      <c r="K152" t="s">
        <v>69</v>
      </c>
      <c r="L152" t="s">
        <v>209</v>
      </c>
      <c r="M152" t="s">
        <v>111</v>
      </c>
      <c r="O152" t="s">
        <v>210</v>
      </c>
      <c r="P152" t="s">
        <v>113</v>
      </c>
    </row>
    <row r="153" spans="1:16" x14ac:dyDescent="0.25">
      <c r="A153">
        <v>10258</v>
      </c>
      <c r="B153" t="s">
        <v>212</v>
      </c>
      <c r="C153" s="1">
        <v>35263</v>
      </c>
      <c r="D153" s="1" t="str">
        <f t="shared" si="6"/>
        <v>jul</v>
      </c>
      <c r="E153" s="1" t="str">
        <f t="shared" si="7"/>
        <v>1996</v>
      </c>
      <c r="F153" s="1">
        <v>35291</v>
      </c>
      <c r="G153" s="1">
        <v>35269</v>
      </c>
      <c r="H153">
        <v>1</v>
      </c>
      <c r="I153" t="str">
        <f t="shared" si="8"/>
        <v>UPS</v>
      </c>
      <c r="J153">
        <v>140.51</v>
      </c>
      <c r="K153" t="s">
        <v>68</v>
      </c>
      <c r="L153" t="s">
        <v>215</v>
      </c>
      <c r="M153" t="s">
        <v>216</v>
      </c>
      <c r="O153" t="s">
        <v>217</v>
      </c>
      <c r="P153" t="s">
        <v>218</v>
      </c>
    </row>
    <row r="154" spans="1:16" x14ac:dyDescent="0.25">
      <c r="A154">
        <v>10263</v>
      </c>
      <c r="B154" t="s">
        <v>212</v>
      </c>
      <c r="C154" s="1">
        <v>35269</v>
      </c>
      <c r="D154" s="1" t="str">
        <f t="shared" si="6"/>
        <v>jul</v>
      </c>
      <c r="E154" s="1" t="str">
        <f t="shared" si="7"/>
        <v>1996</v>
      </c>
      <c r="F154" s="1">
        <v>35297</v>
      </c>
      <c r="G154" s="1">
        <v>35277</v>
      </c>
      <c r="H154">
        <v>3</v>
      </c>
      <c r="I154" t="str">
        <f t="shared" si="8"/>
        <v>DHL</v>
      </c>
      <c r="J154">
        <v>146.06</v>
      </c>
      <c r="K154" t="s">
        <v>68</v>
      </c>
      <c r="L154" t="s">
        <v>215</v>
      </c>
      <c r="M154" t="s">
        <v>216</v>
      </c>
      <c r="O154" t="s">
        <v>217</v>
      </c>
      <c r="P154" t="s">
        <v>218</v>
      </c>
    </row>
    <row r="155" spans="1:16" x14ac:dyDescent="0.25">
      <c r="A155">
        <v>10351</v>
      </c>
      <c r="B155" t="s">
        <v>212</v>
      </c>
      <c r="C155" s="1">
        <v>35380</v>
      </c>
      <c r="D155" s="1" t="str">
        <f t="shared" si="6"/>
        <v>nov</v>
      </c>
      <c r="E155" s="1" t="str">
        <f t="shared" si="7"/>
        <v>1996</v>
      </c>
      <c r="F155" s="1">
        <v>35408</v>
      </c>
      <c r="G155" s="1">
        <v>35389</v>
      </c>
      <c r="H155">
        <v>1</v>
      </c>
      <c r="I155" t="str">
        <f t="shared" si="8"/>
        <v>UPS</v>
      </c>
      <c r="J155">
        <v>162.33000000000001</v>
      </c>
      <c r="K155" t="s">
        <v>68</v>
      </c>
      <c r="L155" t="s">
        <v>215</v>
      </c>
      <c r="M155" t="s">
        <v>216</v>
      </c>
      <c r="O155" t="s">
        <v>217</v>
      </c>
      <c r="P155" t="s">
        <v>218</v>
      </c>
    </row>
    <row r="156" spans="1:16" x14ac:dyDescent="0.25">
      <c r="A156">
        <v>10368</v>
      </c>
      <c r="B156" t="s">
        <v>212</v>
      </c>
      <c r="C156" s="1">
        <v>35398</v>
      </c>
      <c r="D156" s="1" t="str">
        <f t="shared" si="6"/>
        <v>nov</v>
      </c>
      <c r="E156" s="1" t="str">
        <f t="shared" si="7"/>
        <v>1996</v>
      </c>
      <c r="F156" s="1">
        <v>35426</v>
      </c>
      <c r="G156" s="1">
        <v>35401</v>
      </c>
      <c r="H156">
        <v>2</v>
      </c>
      <c r="I156" t="str">
        <f t="shared" si="8"/>
        <v>USPS</v>
      </c>
      <c r="J156">
        <v>101.95</v>
      </c>
      <c r="K156" t="s">
        <v>68</v>
      </c>
      <c r="L156" t="s">
        <v>215</v>
      </c>
      <c r="M156" t="s">
        <v>216</v>
      </c>
      <c r="O156" t="s">
        <v>217</v>
      </c>
      <c r="P156" t="s">
        <v>218</v>
      </c>
    </row>
    <row r="157" spans="1:16" x14ac:dyDescent="0.25">
      <c r="A157">
        <v>10382</v>
      </c>
      <c r="B157" t="s">
        <v>212</v>
      </c>
      <c r="C157" s="1">
        <v>35412</v>
      </c>
      <c r="D157" s="1" t="str">
        <f t="shared" si="6"/>
        <v>dez</v>
      </c>
      <c r="E157" s="1" t="str">
        <f t="shared" si="7"/>
        <v>1996</v>
      </c>
      <c r="F157" s="1">
        <v>35440</v>
      </c>
      <c r="G157" s="1">
        <v>35415</v>
      </c>
      <c r="H157">
        <v>1</v>
      </c>
      <c r="I157" t="str">
        <f t="shared" si="8"/>
        <v>UPS</v>
      </c>
      <c r="J157">
        <v>94.77</v>
      </c>
      <c r="K157" t="s">
        <v>68</v>
      </c>
      <c r="L157" t="s">
        <v>215</v>
      </c>
      <c r="M157" t="s">
        <v>216</v>
      </c>
      <c r="O157" t="s">
        <v>217</v>
      </c>
      <c r="P157" t="s">
        <v>218</v>
      </c>
    </row>
    <row r="158" spans="1:16" x14ac:dyDescent="0.25">
      <c r="A158">
        <v>10390</v>
      </c>
      <c r="B158" t="s">
        <v>212</v>
      </c>
      <c r="C158" s="1">
        <v>35422</v>
      </c>
      <c r="D158" s="1" t="str">
        <f t="shared" si="6"/>
        <v>dez</v>
      </c>
      <c r="E158" s="1" t="str">
        <f t="shared" si="7"/>
        <v>1996</v>
      </c>
      <c r="F158" s="1">
        <v>35450</v>
      </c>
      <c r="G158" s="1">
        <v>35425</v>
      </c>
      <c r="H158">
        <v>1</v>
      </c>
      <c r="I158" t="str">
        <f t="shared" si="8"/>
        <v>UPS</v>
      </c>
      <c r="J158">
        <v>126.38</v>
      </c>
      <c r="K158" t="s">
        <v>68</v>
      </c>
      <c r="L158" t="s">
        <v>215</v>
      </c>
      <c r="M158" t="s">
        <v>216</v>
      </c>
      <c r="O158" t="s">
        <v>217</v>
      </c>
      <c r="P158" t="s">
        <v>218</v>
      </c>
    </row>
    <row r="159" spans="1:16" x14ac:dyDescent="0.25">
      <c r="A159">
        <v>10402</v>
      </c>
      <c r="B159" t="s">
        <v>212</v>
      </c>
      <c r="C159" s="1">
        <v>35432</v>
      </c>
      <c r="D159" s="1" t="str">
        <f t="shared" si="6"/>
        <v>jan</v>
      </c>
      <c r="E159" s="1" t="str">
        <f t="shared" si="7"/>
        <v>1997</v>
      </c>
      <c r="F159" s="1">
        <v>35474</v>
      </c>
      <c r="G159" s="1">
        <v>35440</v>
      </c>
      <c r="H159">
        <v>2</v>
      </c>
      <c r="I159" t="str">
        <f t="shared" si="8"/>
        <v>USPS</v>
      </c>
      <c r="J159">
        <v>67.88</v>
      </c>
      <c r="K159" t="s">
        <v>68</v>
      </c>
      <c r="L159" t="s">
        <v>215</v>
      </c>
      <c r="M159" t="s">
        <v>216</v>
      </c>
      <c r="O159" t="s">
        <v>217</v>
      </c>
      <c r="P159" t="s">
        <v>218</v>
      </c>
    </row>
    <row r="160" spans="1:16" x14ac:dyDescent="0.25">
      <c r="A160">
        <v>10403</v>
      </c>
      <c r="B160" t="s">
        <v>212</v>
      </c>
      <c r="C160" s="1">
        <v>35433</v>
      </c>
      <c r="D160" s="1" t="str">
        <f t="shared" si="6"/>
        <v>jan</v>
      </c>
      <c r="E160" s="1" t="str">
        <f t="shared" si="7"/>
        <v>1997</v>
      </c>
      <c r="F160" s="1">
        <v>35461</v>
      </c>
      <c r="G160" s="1">
        <v>35439</v>
      </c>
      <c r="H160">
        <v>3</v>
      </c>
      <c r="I160" t="str">
        <f t="shared" si="8"/>
        <v>DHL</v>
      </c>
      <c r="J160">
        <v>73.790000000000006</v>
      </c>
      <c r="K160" t="s">
        <v>68</v>
      </c>
      <c r="L160" t="s">
        <v>215</v>
      </c>
      <c r="M160" t="s">
        <v>216</v>
      </c>
      <c r="O160" t="s">
        <v>217</v>
      </c>
      <c r="P160" t="s">
        <v>218</v>
      </c>
    </row>
    <row r="161" spans="1:16" x14ac:dyDescent="0.25">
      <c r="A161">
        <v>10430</v>
      </c>
      <c r="B161" t="s">
        <v>212</v>
      </c>
      <c r="C161" s="1">
        <v>35460</v>
      </c>
      <c r="D161" s="1" t="str">
        <f t="shared" si="6"/>
        <v>jan</v>
      </c>
      <c r="E161" s="1" t="str">
        <f t="shared" si="7"/>
        <v>1997</v>
      </c>
      <c r="F161" s="1">
        <v>35474</v>
      </c>
      <c r="G161" s="1">
        <v>35464</v>
      </c>
      <c r="H161">
        <v>1</v>
      </c>
      <c r="I161" t="str">
        <f t="shared" si="8"/>
        <v>UPS</v>
      </c>
      <c r="J161">
        <v>458.78</v>
      </c>
      <c r="K161" t="s">
        <v>68</v>
      </c>
      <c r="L161" t="s">
        <v>215</v>
      </c>
      <c r="M161" t="s">
        <v>216</v>
      </c>
      <c r="O161" t="s">
        <v>217</v>
      </c>
      <c r="P161" t="s">
        <v>218</v>
      </c>
    </row>
    <row r="162" spans="1:16" x14ac:dyDescent="0.25">
      <c r="A162">
        <v>10442</v>
      </c>
      <c r="B162" t="s">
        <v>212</v>
      </c>
      <c r="C162" s="1">
        <v>35472</v>
      </c>
      <c r="D162" s="1" t="str">
        <f t="shared" si="6"/>
        <v>fev</v>
      </c>
      <c r="E162" s="1" t="str">
        <f t="shared" si="7"/>
        <v>1997</v>
      </c>
      <c r="F162" s="1">
        <v>35500</v>
      </c>
      <c r="G162" s="1">
        <v>35479</v>
      </c>
      <c r="H162">
        <v>2</v>
      </c>
      <c r="I162" t="str">
        <f t="shared" si="8"/>
        <v>USPS</v>
      </c>
      <c r="J162">
        <v>47.94</v>
      </c>
      <c r="K162" t="s">
        <v>68</v>
      </c>
      <c r="L162" t="s">
        <v>215</v>
      </c>
      <c r="M162" t="s">
        <v>216</v>
      </c>
      <c r="O162" t="s">
        <v>217</v>
      </c>
      <c r="P162" t="s">
        <v>218</v>
      </c>
    </row>
    <row r="163" spans="1:16" x14ac:dyDescent="0.25">
      <c r="A163">
        <v>10514</v>
      </c>
      <c r="B163" t="s">
        <v>212</v>
      </c>
      <c r="C163" s="1">
        <v>35542</v>
      </c>
      <c r="D163" s="1" t="str">
        <f t="shared" si="6"/>
        <v>abr</v>
      </c>
      <c r="E163" s="1" t="str">
        <f t="shared" si="7"/>
        <v>1997</v>
      </c>
      <c r="F163" s="1">
        <v>35570</v>
      </c>
      <c r="G163" s="1">
        <v>35566</v>
      </c>
      <c r="H163">
        <v>2</v>
      </c>
      <c r="I163" t="str">
        <f t="shared" si="8"/>
        <v>USPS</v>
      </c>
      <c r="J163">
        <v>789.95</v>
      </c>
      <c r="K163" t="s">
        <v>68</v>
      </c>
      <c r="L163" t="s">
        <v>215</v>
      </c>
      <c r="M163" t="s">
        <v>216</v>
      </c>
      <c r="O163" t="s">
        <v>217</v>
      </c>
      <c r="P163" t="s">
        <v>218</v>
      </c>
    </row>
    <row r="164" spans="1:16" x14ac:dyDescent="0.25">
      <c r="A164">
        <v>10571</v>
      </c>
      <c r="B164" t="s">
        <v>212</v>
      </c>
      <c r="C164" s="1">
        <v>35598</v>
      </c>
      <c r="D164" s="1" t="str">
        <f t="shared" si="6"/>
        <v>jun</v>
      </c>
      <c r="E164" s="1" t="str">
        <f t="shared" si="7"/>
        <v>1997</v>
      </c>
      <c r="F164" s="1">
        <v>35640</v>
      </c>
      <c r="G164" s="1">
        <v>35615</v>
      </c>
      <c r="H164">
        <v>3</v>
      </c>
      <c r="I164" t="str">
        <f t="shared" si="8"/>
        <v>DHL</v>
      </c>
      <c r="J164">
        <v>26.06</v>
      </c>
      <c r="K164" t="s">
        <v>68</v>
      </c>
      <c r="L164" t="s">
        <v>215</v>
      </c>
      <c r="M164" t="s">
        <v>216</v>
      </c>
      <c r="O164" t="s">
        <v>217</v>
      </c>
      <c r="P164" t="s">
        <v>218</v>
      </c>
    </row>
    <row r="165" spans="1:16" x14ac:dyDescent="0.25">
      <c r="A165">
        <v>10595</v>
      </c>
      <c r="B165" t="s">
        <v>212</v>
      </c>
      <c r="C165" s="1">
        <v>35621</v>
      </c>
      <c r="D165" s="1" t="str">
        <f t="shared" si="6"/>
        <v>jul</v>
      </c>
      <c r="E165" s="1" t="str">
        <f t="shared" si="7"/>
        <v>1997</v>
      </c>
      <c r="F165" s="1">
        <v>35649</v>
      </c>
      <c r="G165" s="1">
        <v>35625</v>
      </c>
      <c r="H165">
        <v>1</v>
      </c>
      <c r="I165" t="str">
        <f t="shared" si="8"/>
        <v>UPS</v>
      </c>
      <c r="J165">
        <v>96.78</v>
      </c>
      <c r="K165" t="s">
        <v>68</v>
      </c>
      <c r="L165" t="s">
        <v>215</v>
      </c>
      <c r="M165" t="s">
        <v>216</v>
      </c>
      <c r="O165" t="s">
        <v>217</v>
      </c>
      <c r="P165" t="s">
        <v>218</v>
      </c>
    </row>
    <row r="166" spans="1:16" x14ac:dyDescent="0.25">
      <c r="A166">
        <v>10633</v>
      </c>
      <c r="B166" t="s">
        <v>212</v>
      </c>
      <c r="C166" s="1">
        <v>35657</v>
      </c>
      <c r="D166" s="1" t="str">
        <f t="shared" si="6"/>
        <v>ago</v>
      </c>
      <c r="E166" s="1" t="str">
        <f t="shared" si="7"/>
        <v>1997</v>
      </c>
      <c r="F166" s="1">
        <v>35685</v>
      </c>
      <c r="G166" s="1">
        <v>35660</v>
      </c>
      <c r="H166">
        <v>3</v>
      </c>
      <c r="I166" t="str">
        <f t="shared" si="8"/>
        <v>DHL</v>
      </c>
      <c r="J166">
        <v>477.9</v>
      </c>
      <c r="K166" t="s">
        <v>68</v>
      </c>
      <c r="L166" t="s">
        <v>215</v>
      </c>
      <c r="M166" t="s">
        <v>216</v>
      </c>
      <c r="O166" t="s">
        <v>217</v>
      </c>
      <c r="P166" t="s">
        <v>218</v>
      </c>
    </row>
    <row r="167" spans="1:16" x14ac:dyDescent="0.25">
      <c r="A167">
        <v>10667</v>
      </c>
      <c r="B167" t="s">
        <v>212</v>
      </c>
      <c r="C167" s="1">
        <v>35685</v>
      </c>
      <c r="D167" s="1" t="str">
        <f t="shared" si="6"/>
        <v>set</v>
      </c>
      <c r="E167" s="1" t="str">
        <f t="shared" si="7"/>
        <v>1997</v>
      </c>
      <c r="F167" s="1">
        <v>35713</v>
      </c>
      <c r="G167" s="1">
        <v>35692</v>
      </c>
      <c r="H167">
        <v>1</v>
      </c>
      <c r="I167" t="str">
        <f t="shared" si="8"/>
        <v>UPS</v>
      </c>
      <c r="J167">
        <v>78.09</v>
      </c>
      <c r="K167" t="s">
        <v>68</v>
      </c>
      <c r="L167" t="s">
        <v>215</v>
      </c>
      <c r="M167" t="s">
        <v>216</v>
      </c>
      <c r="O167" t="s">
        <v>217</v>
      </c>
      <c r="P167" t="s">
        <v>218</v>
      </c>
    </row>
    <row r="168" spans="1:16" x14ac:dyDescent="0.25">
      <c r="A168">
        <v>10698</v>
      </c>
      <c r="B168" t="s">
        <v>212</v>
      </c>
      <c r="C168" s="1">
        <v>35712</v>
      </c>
      <c r="D168" s="1" t="str">
        <f t="shared" si="6"/>
        <v>out</v>
      </c>
      <c r="E168" s="1" t="str">
        <f t="shared" si="7"/>
        <v>1997</v>
      </c>
      <c r="F168" s="1">
        <v>35740</v>
      </c>
      <c r="G168" s="1">
        <v>35720</v>
      </c>
      <c r="H168">
        <v>1</v>
      </c>
      <c r="I168" t="str">
        <f t="shared" si="8"/>
        <v>UPS</v>
      </c>
      <c r="J168">
        <v>272.47000000000003</v>
      </c>
      <c r="K168" t="s">
        <v>68</v>
      </c>
      <c r="L168" t="s">
        <v>215</v>
      </c>
      <c r="M168" t="s">
        <v>216</v>
      </c>
      <c r="O168" t="s">
        <v>217</v>
      </c>
      <c r="P168" t="s">
        <v>218</v>
      </c>
    </row>
    <row r="169" spans="1:16" x14ac:dyDescent="0.25">
      <c r="A169">
        <v>10764</v>
      </c>
      <c r="B169" t="s">
        <v>212</v>
      </c>
      <c r="C169" s="1">
        <v>35767</v>
      </c>
      <c r="D169" s="1" t="str">
        <f t="shared" si="6"/>
        <v>dez</v>
      </c>
      <c r="E169" s="1" t="str">
        <f t="shared" si="7"/>
        <v>1997</v>
      </c>
      <c r="F169" s="1">
        <v>35795</v>
      </c>
      <c r="G169" s="1">
        <v>35772</v>
      </c>
      <c r="H169">
        <v>3</v>
      </c>
      <c r="I169" t="str">
        <f t="shared" si="8"/>
        <v>DHL</v>
      </c>
      <c r="J169">
        <v>145.44999999999999</v>
      </c>
      <c r="K169" t="s">
        <v>68</v>
      </c>
      <c r="L169" t="s">
        <v>215</v>
      </c>
      <c r="M169" t="s">
        <v>216</v>
      </c>
      <c r="O169" t="s">
        <v>217</v>
      </c>
      <c r="P169" t="s">
        <v>218</v>
      </c>
    </row>
    <row r="170" spans="1:16" x14ac:dyDescent="0.25">
      <c r="A170">
        <v>10771</v>
      </c>
      <c r="B170" t="s">
        <v>212</v>
      </c>
      <c r="C170" s="1">
        <v>35774</v>
      </c>
      <c r="D170" s="1" t="str">
        <f t="shared" si="6"/>
        <v>dez</v>
      </c>
      <c r="E170" s="1" t="str">
        <f t="shared" si="7"/>
        <v>1997</v>
      </c>
      <c r="F170" s="1">
        <v>35802</v>
      </c>
      <c r="G170" s="1">
        <v>35797</v>
      </c>
      <c r="H170">
        <v>2</v>
      </c>
      <c r="I170" t="str">
        <f t="shared" si="8"/>
        <v>USPS</v>
      </c>
      <c r="J170">
        <v>11.19</v>
      </c>
      <c r="K170" t="s">
        <v>68</v>
      </c>
      <c r="L170" t="s">
        <v>215</v>
      </c>
      <c r="M170" t="s">
        <v>216</v>
      </c>
      <c r="O170" t="s">
        <v>217</v>
      </c>
      <c r="P170" t="s">
        <v>218</v>
      </c>
    </row>
    <row r="171" spans="1:16" x14ac:dyDescent="0.25">
      <c r="A171">
        <v>10773</v>
      </c>
      <c r="B171" t="s">
        <v>212</v>
      </c>
      <c r="C171" s="1">
        <v>35775</v>
      </c>
      <c r="D171" s="1" t="str">
        <f t="shared" si="6"/>
        <v>dez</v>
      </c>
      <c r="E171" s="1" t="str">
        <f t="shared" si="7"/>
        <v>1997</v>
      </c>
      <c r="F171" s="1">
        <v>35803</v>
      </c>
      <c r="G171" s="1">
        <v>35780</v>
      </c>
      <c r="H171">
        <v>3</v>
      </c>
      <c r="I171" t="str">
        <f t="shared" si="8"/>
        <v>DHL</v>
      </c>
      <c r="J171">
        <v>96.43</v>
      </c>
      <c r="K171" t="s">
        <v>68</v>
      </c>
      <c r="L171" t="s">
        <v>215</v>
      </c>
      <c r="M171" t="s">
        <v>216</v>
      </c>
      <c r="O171" t="s">
        <v>217</v>
      </c>
      <c r="P171" t="s">
        <v>218</v>
      </c>
    </row>
    <row r="172" spans="1:16" x14ac:dyDescent="0.25">
      <c r="A172">
        <v>10776</v>
      </c>
      <c r="B172" t="s">
        <v>212</v>
      </c>
      <c r="C172" s="1">
        <v>35779</v>
      </c>
      <c r="D172" s="1" t="str">
        <f t="shared" si="6"/>
        <v>dez</v>
      </c>
      <c r="E172" s="1" t="str">
        <f t="shared" si="7"/>
        <v>1997</v>
      </c>
      <c r="F172" s="1">
        <v>35807</v>
      </c>
      <c r="G172" s="1">
        <v>35782</v>
      </c>
      <c r="H172">
        <v>3</v>
      </c>
      <c r="I172" t="str">
        <f t="shared" si="8"/>
        <v>DHL</v>
      </c>
      <c r="J172">
        <v>351.53</v>
      </c>
      <c r="K172" t="s">
        <v>68</v>
      </c>
      <c r="L172" t="s">
        <v>215</v>
      </c>
      <c r="M172" t="s">
        <v>216</v>
      </c>
      <c r="O172" t="s">
        <v>217</v>
      </c>
      <c r="P172" t="s">
        <v>218</v>
      </c>
    </row>
    <row r="173" spans="1:16" x14ac:dyDescent="0.25">
      <c r="A173">
        <v>10795</v>
      </c>
      <c r="B173" t="s">
        <v>212</v>
      </c>
      <c r="C173" s="1">
        <v>35788</v>
      </c>
      <c r="D173" s="1" t="str">
        <f t="shared" si="6"/>
        <v>dez</v>
      </c>
      <c r="E173" s="1" t="str">
        <f t="shared" si="7"/>
        <v>1997</v>
      </c>
      <c r="F173" s="1">
        <v>35816</v>
      </c>
      <c r="G173" s="1">
        <v>35815</v>
      </c>
      <c r="H173">
        <v>2</v>
      </c>
      <c r="I173" t="str">
        <f t="shared" si="8"/>
        <v>USPS</v>
      </c>
      <c r="J173">
        <v>126.66</v>
      </c>
      <c r="K173" t="s">
        <v>68</v>
      </c>
      <c r="L173" t="s">
        <v>215</v>
      </c>
      <c r="M173" t="s">
        <v>216</v>
      </c>
      <c r="O173" t="s">
        <v>217</v>
      </c>
      <c r="P173" t="s">
        <v>218</v>
      </c>
    </row>
    <row r="174" spans="1:16" x14ac:dyDescent="0.25">
      <c r="A174">
        <v>10836</v>
      </c>
      <c r="B174" t="s">
        <v>212</v>
      </c>
      <c r="C174" s="1">
        <v>35811</v>
      </c>
      <c r="D174" s="1" t="str">
        <f t="shared" si="6"/>
        <v>jan</v>
      </c>
      <c r="E174" s="1" t="str">
        <f t="shared" si="7"/>
        <v>1998</v>
      </c>
      <c r="F174" s="1">
        <v>35839</v>
      </c>
      <c r="G174" s="1">
        <v>35816</v>
      </c>
      <c r="H174">
        <v>1</v>
      </c>
      <c r="I174" t="str">
        <f t="shared" si="8"/>
        <v>UPS</v>
      </c>
      <c r="J174">
        <v>411.88</v>
      </c>
      <c r="K174" t="s">
        <v>68</v>
      </c>
      <c r="L174" t="s">
        <v>215</v>
      </c>
      <c r="M174" t="s">
        <v>216</v>
      </c>
      <c r="O174" t="s">
        <v>217</v>
      </c>
      <c r="P174" t="s">
        <v>218</v>
      </c>
    </row>
    <row r="175" spans="1:16" x14ac:dyDescent="0.25">
      <c r="A175">
        <v>10854</v>
      </c>
      <c r="B175" t="s">
        <v>212</v>
      </c>
      <c r="C175" s="1">
        <v>35822</v>
      </c>
      <c r="D175" s="1" t="str">
        <f t="shared" si="6"/>
        <v>jan</v>
      </c>
      <c r="E175" s="1" t="str">
        <f t="shared" si="7"/>
        <v>1998</v>
      </c>
      <c r="F175" s="1">
        <v>35850</v>
      </c>
      <c r="G175" s="1">
        <v>35831</v>
      </c>
      <c r="H175">
        <v>2</v>
      </c>
      <c r="I175" t="str">
        <f t="shared" si="8"/>
        <v>USPS</v>
      </c>
      <c r="J175">
        <v>100.22</v>
      </c>
      <c r="K175" t="s">
        <v>68</v>
      </c>
      <c r="L175" t="s">
        <v>215</v>
      </c>
      <c r="M175" t="s">
        <v>216</v>
      </c>
      <c r="O175" t="s">
        <v>217</v>
      </c>
      <c r="P175" t="s">
        <v>218</v>
      </c>
    </row>
    <row r="176" spans="1:16" x14ac:dyDescent="0.25">
      <c r="A176">
        <v>10895</v>
      </c>
      <c r="B176" t="s">
        <v>212</v>
      </c>
      <c r="C176" s="1">
        <v>35844</v>
      </c>
      <c r="D176" s="1" t="str">
        <f t="shared" si="6"/>
        <v>fev</v>
      </c>
      <c r="E176" s="1" t="str">
        <f t="shared" si="7"/>
        <v>1998</v>
      </c>
      <c r="F176" s="1">
        <v>35872</v>
      </c>
      <c r="G176" s="1">
        <v>35849</v>
      </c>
      <c r="H176">
        <v>1</v>
      </c>
      <c r="I176" t="str">
        <f t="shared" si="8"/>
        <v>UPS</v>
      </c>
      <c r="J176">
        <v>162.75</v>
      </c>
      <c r="K176" t="s">
        <v>68</v>
      </c>
      <c r="L176" t="s">
        <v>215</v>
      </c>
      <c r="M176" t="s">
        <v>216</v>
      </c>
      <c r="O176" t="s">
        <v>217</v>
      </c>
      <c r="P176" t="s">
        <v>218</v>
      </c>
    </row>
    <row r="177" spans="1:16" x14ac:dyDescent="0.25">
      <c r="A177">
        <v>10968</v>
      </c>
      <c r="B177" t="s">
        <v>212</v>
      </c>
      <c r="C177" s="1">
        <v>35877</v>
      </c>
      <c r="D177" s="1" t="str">
        <f t="shared" si="6"/>
        <v>mar</v>
      </c>
      <c r="E177" s="1" t="str">
        <f t="shared" si="7"/>
        <v>1998</v>
      </c>
      <c r="F177" s="1">
        <v>35905</v>
      </c>
      <c r="G177" s="1">
        <v>35886</v>
      </c>
      <c r="H177">
        <v>3</v>
      </c>
      <c r="I177" t="str">
        <f t="shared" si="8"/>
        <v>DHL</v>
      </c>
      <c r="J177">
        <v>74.599999999999994</v>
      </c>
      <c r="K177" t="s">
        <v>68</v>
      </c>
      <c r="L177" t="s">
        <v>215</v>
      </c>
      <c r="M177" t="s">
        <v>216</v>
      </c>
      <c r="O177" t="s">
        <v>217</v>
      </c>
      <c r="P177" t="s">
        <v>218</v>
      </c>
    </row>
    <row r="178" spans="1:16" x14ac:dyDescent="0.25">
      <c r="A178">
        <v>10979</v>
      </c>
      <c r="B178" t="s">
        <v>212</v>
      </c>
      <c r="C178" s="1">
        <v>35880</v>
      </c>
      <c r="D178" s="1" t="str">
        <f t="shared" si="6"/>
        <v>mar</v>
      </c>
      <c r="E178" s="1" t="str">
        <f t="shared" si="7"/>
        <v>1998</v>
      </c>
      <c r="F178" s="1">
        <v>35908</v>
      </c>
      <c r="G178" s="1">
        <v>35885</v>
      </c>
      <c r="H178">
        <v>2</v>
      </c>
      <c r="I178" t="str">
        <f t="shared" si="8"/>
        <v>USPS</v>
      </c>
      <c r="J178">
        <v>353.07</v>
      </c>
      <c r="K178" t="s">
        <v>68</v>
      </c>
      <c r="L178" t="s">
        <v>215</v>
      </c>
      <c r="M178" t="s">
        <v>216</v>
      </c>
      <c r="O178" t="s">
        <v>217</v>
      </c>
      <c r="P178" t="s">
        <v>218</v>
      </c>
    </row>
    <row r="179" spans="1:16" x14ac:dyDescent="0.25">
      <c r="A179">
        <v>10990</v>
      </c>
      <c r="B179" t="s">
        <v>212</v>
      </c>
      <c r="C179" s="1">
        <v>35886</v>
      </c>
      <c r="D179" s="1" t="str">
        <f t="shared" si="6"/>
        <v>abr</v>
      </c>
      <c r="E179" s="1" t="str">
        <f t="shared" si="7"/>
        <v>1998</v>
      </c>
      <c r="F179" s="1">
        <v>35928</v>
      </c>
      <c r="G179" s="1">
        <v>35892</v>
      </c>
      <c r="H179">
        <v>3</v>
      </c>
      <c r="I179" t="str">
        <f t="shared" si="8"/>
        <v>DHL</v>
      </c>
      <c r="J179">
        <v>117.61</v>
      </c>
      <c r="K179" t="s">
        <v>68</v>
      </c>
      <c r="L179" t="s">
        <v>215</v>
      </c>
      <c r="M179" t="s">
        <v>216</v>
      </c>
      <c r="O179" t="s">
        <v>217</v>
      </c>
      <c r="P179" t="s">
        <v>218</v>
      </c>
    </row>
    <row r="180" spans="1:16" x14ac:dyDescent="0.25">
      <c r="A180">
        <v>11008</v>
      </c>
      <c r="B180" t="s">
        <v>212</v>
      </c>
      <c r="C180" s="1">
        <v>35893</v>
      </c>
      <c r="D180" s="1" t="str">
        <f t="shared" si="6"/>
        <v>abr</v>
      </c>
      <c r="E180" s="1" t="str">
        <f t="shared" si="7"/>
        <v>1998</v>
      </c>
      <c r="F180" s="1">
        <v>35921</v>
      </c>
      <c r="G180" s="1"/>
      <c r="H180">
        <v>3</v>
      </c>
      <c r="I180" t="str">
        <f t="shared" si="8"/>
        <v>DHL</v>
      </c>
      <c r="J180">
        <v>79.459999999999994</v>
      </c>
      <c r="K180" t="s">
        <v>68</v>
      </c>
      <c r="L180" t="s">
        <v>215</v>
      </c>
      <c r="M180" t="s">
        <v>216</v>
      </c>
      <c r="O180" t="s">
        <v>217</v>
      </c>
      <c r="P180" t="s">
        <v>218</v>
      </c>
    </row>
    <row r="181" spans="1:16" x14ac:dyDescent="0.25">
      <c r="A181">
        <v>11017</v>
      </c>
      <c r="B181" t="s">
        <v>212</v>
      </c>
      <c r="C181" s="1">
        <v>35898</v>
      </c>
      <c r="D181" s="1" t="str">
        <f t="shared" si="6"/>
        <v>abr</v>
      </c>
      <c r="E181" s="1" t="str">
        <f t="shared" si="7"/>
        <v>1998</v>
      </c>
      <c r="F181" s="1">
        <v>35926</v>
      </c>
      <c r="G181" s="1">
        <v>35905</v>
      </c>
      <c r="H181">
        <v>2</v>
      </c>
      <c r="I181" t="str">
        <f t="shared" si="8"/>
        <v>USPS</v>
      </c>
      <c r="J181">
        <v>754.26</v>
      </c>
      <c r="K181" t="s">
        <v>68</v>
      </c>
      <c r="L181" t="s">
        <v>215</v>
      </c>
      <c r="M181" t="s">
        <v>216</v>
      </c>
      <c r="O181" t="s">
        <v>217</v>
      </c>
      <c r="P181" t="s">
        <v>218</v>
      </c>
    </row>
    <row r="182" spans="1:16" x14ac:dyDescent="0.25">
      <c r="A182">
        <v>11072</v>
      </c>
      <c r="B182" t="s">
        <v>212</v>
      </c>
      <c r="C182" s="1">
        <v>35920</v>
      </c>
      <c r="D182" s="1" t="str">
        <f t="shared" si="6"/>
        <v>mai</v>
      </c>
      <c r="E182" s="1" t="str">
        <f t="shared" si="7"/>
        <v>1998</v>
      </c>
      <c r="F182" s="1">
        <v>35948</v>
      </c>
      <c r="G182" s="1"/>
      <c r="H182">
        <v>2</v>
      </c>
      <c r="I182" t="str">
        <f t="shared" si="8"/>
        <v>USPS</v>
      </c>
      <c r="J182">
        <v>258.64</v>
      </c>
      <c r="K182" t="s">
        <v>68</v>
      </c>
      <c r="L182" t="s">
        <v>215</v>
      </c>
      <c r="M182" t="s">
        <v>216</v>
      </c>
      <c r="O182" t="s">
        <v>217</v>
      </c>
      <c r="P182" t="s">
        <v>218</v>
      </c>
    </row>
    <row r="183" spans="1:16" x14ac:dyDescent="0.25">
      <c r="A183">
        <v>10347</v>
      </c>
      <c r="B183" t="s">
        <v>220</v>
      </c>
      <c r="C183" s="1">
        <v>35375</v>
      </c>
      <c r="D183" s="1" t="str">
        <f t="shared" si="6"/>
        <v>nov</v>
      </c>
      <c r="E183" s="1" t="str">
        <f t="shared" si="7"/>
        <v>1996</v>
      </c>
      <c r="F183" s="1">
        <v>35403</v>
      </c>
      <c r="G183" s="1">
        <v>35377</v>
      </c>
      <c r="H183">
        <v>3</v>
      </c>
      <c r="I183" t="str">
        <f t="shared" si="8"/>
        <v>DHL</v>
      </c>
      <c r="J183">
        <v>3.1</v>
      </c>
      <c r="K183" t="s">
        <v>67</v>
      </c>
      <c r="L183" t="s">
        <v>222</v>
      </c>
      <c r="M183" t="s">
        <v>186</v>
      </c>
      <c r="N183" t="s">
        <v>187</v>
      </c>
      <c r="O183" t="s">
        <v>223</v>
      </c>
      <c r="P183" t="s">
        <v>189</v>
      </c>
    </row>
    <row r="184" spans="1:16" x14ac:dyDescent="0.25">
      <c r="A184">
        <v>10386</v>
      </c>
      <c r="B184" t="s">
        <v>220</v>
      </c>
      <c r="C184" s="1">
        <v>35417</v>
      </c>
      <c r="D184" s="1" t="str">
        <f t="shared" si="6"/>
        <v>dez</v>
      </c>
      <c r="E184" s="1" t="str">
        <f t="shared" si="7"/>
        <v>1996</v>
      </c>
      <c r="F184" s="1">
        <v>35431</v>
      </c>
      <c r="G184" s="1">
        <v>35424</v>
      </c>
      <c r="H184">
        <v>3</v>
      </c>
      <c r="I184" t="str">
        <f t="shared" si="8"/>
        <v>DHL</v>
      </c>
      <c r="J184">
        <v>13.99</v>
      </c>
      <c r="K184" t="s">
        <v>67</v>
      </c>
      <c r="L184" t="s">
        <v>222</v>
      </c>
      <c r="M184" t="s">
        <v>186</v>
      </c>
      <c r="N184" t="s">
        <v>187</v>
      </c>
      <c r="O184" t="s">
        <v>223</v>
      </c>
      <c r="P184" t="s">
        <v>189</v>
      </c>
    </row>
    <row r="185" spans="1:16" x14ac:dyDescent="0.25">
      <c r="A185">
        <v>10414</v>
      </c>
      <c r="B185" t="s">
        <v>220</v>
      </c>
      <c r="C185" s="1">
        <v>35444</v>
      </c>
      <c r="D185" s="1" t="str">
        <f t="shared" si="6"/>
        <v>jan</v>
      </c>
      <c r="E185" s="1" t="str">
        <f t="shared" si="7"/>
        <v>1997</v>
      </c>
      <c r="F185" s="1">
        <v>35472</v>
      </c>
      <c r="G185" s="1">
        <v>35447</v>
      </c>
      <c r="H185">
        <v>3</v>
      </c>
      <c r="I185" t="str">
        <f t="shared" si="8"/>
        <v>DHL</v>
      </c>
      <c r="J185">
        <v>21.48</v>
      </c>
      <c r="K185" t="s">
        <v>67</v>
      </c>
      <c r="L185" t="s">
        <v>222</v>
      </c>
      <c r="M185" t="s">
        <v>186</v>
      </c>
      <c r="N185" t="s">
        <v>187</v>
      </c>
      <c r="O185" t="s">
        <v>223</v>
      </c>
      <c r="P185" t="s">
        <v>189</v>
      </c>
    </row>
    <row r="186" spans="1:16" x14ac:dyDescent="0.25">
      <c r="A186">
        <v>10512</v>
      </c>
      <c r="B186" t="s">
        <v>220</v>
      </c>
      <c r="C186" s="1">
        <v>35541</v>
      </c>
      <c r="D186" s="1" t="str">
        <f t="shared" si="6"/>
        <v>abr</v>
      </c>
      <c r="E186" s="1" t="str">
        <f t="shared" si="7"/>
        <v>1997</v>
      </c>
      <c r="F186" s="1">
        <v>35569</v>
      </c>
      <c r="G186" s="1">
        <v>35544</v>
      </c>
      <c r="H186">
        <v>2</v>
      </c>
      <c r="I186" t="str">
        <f t="shared" si="8"/>
        <v>USPS</v>
      </c>
      <c r="J186">
        <v>3.53</v>
      </c>
      <c r="K186" t="s">
        <v>67</v>
      </c>
      <c r="L186" t="s">
        <v>222</v>
      </c>
      <c r="M186" t="s">
        <v>186</v>
      </c>
      <c r="N186" t="s">
        <v>187</v>
      </c>
      <c r="O186" t="s">
        <v>223</v>
      </c>
      <c r="P186" t="s">
        <v>189</v>
      </c>
    </row>
    <row r="187" spans="1:16" x14ac:dyDescent="0.25">
      <c r="A187">
        <v>10581</v>
      </c>
      <c r="B187" t="s">
        <v>220</v>
      </c>
      <c r="C187" s="1">
        <v>35607</v>
      </c>
      <c r="D187" s="1" t="str">
        <f t="shared" si="6"/>
        <v>jun</v>
      </c>
      <c r="E187" s="1" t="str">
        <f t="shared" si="7"/>
        <v>1997</v>
      </c>
      <c r="F187" s="1">
        <v>35635</v>
      </c>
      <c r="G187" s="1">
        <v>35613</v>
      </c>
      <c r="H187">
        <v>1</v>
      </c>
      <c r="I187" t="str">
        <f t="shared" si="8"/>
        <v>UPS</v>
      </c>
      <c r="J187">
        <v>3.01</v>
      </c>
      <c r="K187" t="s">
        <v>67</v>
      </c>
      <c r="L187" t="s">
        <v>222</v>
      </c>
      <c r="M187" t="s">
        <v>186</v>
      </c>
      <c r="N187" t="s">
        <v>187</v>
      </c>
      <c r="O187" t="s">
        <v>223</v>
      </c>
      <c r="P187" t="s">
        <v>189</v>
      </c>
    </row>
    <row r="188" spans="1:16" x14ac:dyDescent="0.25">
      <c r="A188">
        <v>10650</v>
      </c>
      <c r="B188" t="s">
        <v>220</v>
      </c>
      <c r="C188" s="1">
        <v>35671</v>
      </c>
      <c r="D188" s="1" t="str">
        <f t="shared" si="6"/>
        <v>ago</v>
      </c>
      <c r="E188" s="1" t="str">
        <f t="shared" si="7"/>
        <v>1997</v>
      </c>
      <c r="F188" s="1">
        <v>35699</v>
      </c>
      <c r="G188" s="1">
        <v>35676</v>
      </c>
      <c r="H188">
        <v>3</v>
      </c>
      <c r="I188" t="str">
        <f t="shared" si="8"/>
        <v>DHL</v>
      </c>
      <c r="J188">
        <v>176.81</v>
      </c>
      <c r="K188" t="s">
        <v>67</v>
      </c>
      <c r="L188" t="s">
        <v>222</v>
      </c>
      <c r="M188" t="s">
        <v>186</v>
      </c>
      <c r="N188" t="s">
        <v>187</v>
      </c>
      <c r="O188" t="s">
        <v>223</v>
      </c>
      <c r="P188" t="s">
        <v>189</v>
      </c>
    </row>
    <row r="189" spans="1:16" x14ac:dyDescent="0.25">
      <c r="A189">
        <v>10725</v>
      </c>
      <c r="B189" t="s">
        <v>220</v>
      </c>
      <c r="C189" s="1">
        <v>35734</v>
      </c>
      <c r="D189" s="1" t="str">
        <f t="shared" si="6"/>
        <v>out</v>
      </c>
      <c r="E189" s="1" t="str">
        <f t="shared" si="7"/>
        <v>1997</v>
      </c>
      <c r="F189" s="1">
        <v>35762</v>
      </c>
      <c r="G189" s="1">
        <v>35739</v>
      </c>
      <c r="H189">
        <v>3</v>
      </c>
      <c r="I189" t="str">
        <f t="shared" si="8"/>
        <v>DHL</v>
      </c>
      <c r="J189">
        <v>10.83</v>
      </c>
      <c r="K189" t="s">
        <v>67</v>
      </c>
      <c r="L189" t="s">
        <v>222</v>
      </c>
      <c r="M189" t="s">
        <v>186</v>
      </c>
      <c r="N189" t="s">
        <v>187</v>
      </c>
      <c r="O189" t="s">
        <v>223</v>
      </c>
      <c r="P189" t="s">
        <v>189</v>
      </c>
    </row>
    <row r="190" spans="1:16" x14ac:dyDescent="0.25">
      <c r="A190">
        <v>10408</v>
      </c>
      <c r="B190" t="s">
        <v>230</v>
      </c>
      <c r="C190" s="1">
        <v>35438</v>
      </c>
      <c r="D190" s="1" t="str">
        <f t="shared" si="6"/>
        <v>jan</v>
      </c>
      <c r="E190" s="1" t="str">
        <f t="shared" si="7"/>
        <v>1997</v>
      </c>
      <c r="F190" s="1">
        <v>35466</v>
      </c>
      <c r="G190" s="1">
        <v>35444</v>
      </c>
      <c r="H190">
        <v>1</v>
      </c>
      <c r="I190" t="str">
        <f t="shared" si="8"/>
        <v>UPS</v>
      </c>
      <c r="J190">
        <v>11.26</v>
      </c>
      <c r="K190" t="s">
        <v>66</v>
      </c>
      <c r="L190" t="s">
        <v>233</v>
      </c>
      <c r="M190" t="s">
        <v>234</v>
      </c>
      <c r="O190" t="s">
        <v>235</v>
      </c>
      <c r="P190" t="s">
        <v>134</v>
      </c>
    </row>
    <row r="191" spans="1:16" x14ac:dyDescent="0.25">
      <c r="A191">
        <v>10480</v>
      </c>
      <c r="B191" t="s">
        <v>230</v>
      </c>
      <c r="C191" s="1">
        <v>35509</v>
      </c>
      <c r="D191" s="1" t="str">
        <f t="shared" si="6"/>
        <v>mar</v>
      </c>
      <c r="E191" s="1" t="str">
        <f t="shared" si="7"/>
        <v>1997</v>
      </c>
      <c r="F191" s="1">
        <v>35537</v>
      </c>
      <c r="G191" s="1">
        <v>35513</v>
      </c>
      <c r="H191">
        <v>2</v>
      </c>
      <c r="I191" t="str">
        <f t="shared" si="8"/>
        <v>USPS</v>
      </c>
      <c r="J191">
        <v>1.35</v>
      </c>
      <c r="K191" t="s">
        <v>66</v>
      </c>
      <c r="L191" t="s">
        <v>233</v>
      </c>
      <c r="M191" t="s">
        <v>234</v>
      </c>
      <c r="O191" t="s">
        <v>235</v>
      </c>
      <c r="P191" t="s">
        <v>134</v>
      </c>
    </row>
    <row r="192" spans="1:16" x14ac:dyDescent="0.25">
      <c r="A192">
        <v>10634</v>
      </c>
      <c r="B192" t="s">
        <v>230</v>
      </c>
      <c r="C192" s="1">
        <v>35657</v>
      </c>
      <c r="D192" s="1" t="str">
        <f t="shared" si="6"/>
        <v>ago</v>
      </c>
      <c r="E192" s="1" t="str">
        <f t="shared" si="7"/>
        <v>1997</v>
      </c>
      <c r="F192" s="1">
        <v>35685</v>
      </c>
      <c r="G192" s="1">
        <v>35663</v>
      </c>
      <c r="H192">
        <v>3</v>
      </c>
      <c r="I192" t="str">
        <f t="shared" si="8"/>
        <v>DHL</v>
      </c>
      <c r="J192">
        <v>487.38</v>
      </c>
      <c r="K192" t="s">
        <v>66</v>
      </c>
      <c r="L192" t="s">
        <v>233</v>
      </c>
      <c r="M192" t="s">
        <v>234</v>
      </c>
      <c r="O192" t="s">
        <v>235</v>
      </c>
      <c r="P192" t="s">
        <v>134</v>
      </c>
    </row>
    <row r="193" spans="1:16" x14ac:dyDescent="0.25">
      <c r="A193">
        <v>10763</v>
      </c>
      <c r="B193" t="s">
        <v>230</v>
      </c>
      <c r="C193" s="1">
        <v>35767</v>
      </c>
      <c r="D193" s="1" t="str">
        <f t="shared" si="6"/>
        <v>dez</v>
      </c>
      <c r="E193" s="1" t="str">
        <f t="shared" si="7"/>
        <v>1997</v>
      </c>
      <c r="F193" s="1">
        <v>35795</v>
      </c>
      <c r="G193" s="1">
        <v>35772</v>
      </c>
      <c r="H193">
        <v>3</v>
      </c>
      <c r="I193" t="str">
        <f t="shared" si="8"/>
        <v>DHL</v>
      </c>
      <c r="J193">
        <v>37.35</v>
      </c>
      <c r="K193" t="s">
        <v>66</v>
      </c>
      <c r="L193" t="s">
        <v>233</v>
      </c>
      <c r="M193" t="s">
        <v>234</v>
      </c>
      <c r="O193" t="s">
        <v>235</v>
      </c>
      <c r="P193" t="s">
        <v>134</v>
      </c>
    </row>
    <row r="194" spans="1:16" x14ac:dyDescent="0.25">
      <c r="A194">
        <v>10789</v>
      </c>
      <c r="B194" t="s">
        <v>230</v>
      </c>
      <c r="C194" s="1">
        <v>35786</v>
      </c>
      <c r="D194" s="1" t="str">
        <f t="shared" si="6"/>
        <v>dez</v>
      </c>
      <c r="E194" s="1" t="str">
        <f t="shared" si="7"/>
        <v>1997</v>
      </c>
      <c r="F194" s="1">
        <v>35814</v>
      </c>
      <c r="G194" s="1">
        <v>35795</v>
      </c>
      <c r="H194">
        <v>2</v>
      </c>
      <c r="I194" t="str">
        <f t="shared" si="8"/>
        <v>USPS</v>
      </c>
      <c r="J194">
        <v>100.6</v>
      </c>
      <c r="K194" t="s">
        <v>66</v>
      </c>
      <c r="L194" t="s">
        <v>233</v>
      </c>
      <c r="M194" t="s">
        <v>234</v>
      </c>
      <c r="O194" t="s">
        <v>235</v>
      </c>
      <c r="P194" t="s">
        <v>134</v>
      </c>
    </row>
    <row r="195" spans="1:16" x14ac:dyDescent="0.25">
      <c r="A195">
        <v>10264</v>
      </c>
      <c r="B195" t="s">
        <v>237</v>
      </c>
      <c r="C195" s="1">
        <v>35270</v>
      </c>
      <c r="D195" s="1" t="str">
        <f t="shared" ref="D195:D258" si="9">TEXT(C195,"mmm")</f>
        <v>jul</v>
      </c>
      <c r="E195" s="1" t="str">
        <f t="shared" ref="E195:E258" si="10">TEXT(C195,"aaa")</f>
        <v>1996</v>
      </c>
      <c r="F195" s="1">
        <v>35298</v>
      </c>
      <c r="G195" s="1">
        <v>35300</v>
      </c>
      <c r="H195">
        <v>3</v>
      </c>
      <c r="I195" t="str">
        <f t="shared" ref="I195:I258" si="11">CHOOSE(H195,"UPS","USPS","DHL")</f>
        <v>DHL</v>
      </c>
      <c r="J195">
        <v>3.67</v>
      </c>
      <c r="K195" t="s">
        <v>65</v>
      </c>
      <c r="L195" t="s">
        <v>239</v>
      </c>
      <c r="M195" t="s">
        <v>240</v>
      </c>
      <c r="O195" t="s">
        <v>241</v>
      </c>
      <c r="P195" t="s">
        <v>121</v>
      </c>
    </row>
    <row r="196" spans="1:16" x14ac:dyDescent="0.25">
      <c r="A196">
        <v>10327</v>
      </c>
      <c r="B196" t="s">
        <v>237</v>
      </c>
      <c r="C196" s="1">
        <v>35349</v>
      </c>
      <c r="D196" s="1" t="str">
        <f t="shared" si="9"/>
        <v>out</v>
      </c>
      <c r="E196" s="1" t="str">
        <f t="shared" si="10"/>
        <v>1996</v>
      </c>
      <c r="F196" s="1">
        <v>35377</v>
      </c>
      <c r="G196" s="1">
        <v>35352</v>
      </c>
      <c r="H196">
        <v>1</v>
      </c>
      <c r="I196" t="str">
        <f t="shared" si="11"/>
        <v>UPS</v>
      </c>
      <c r="J196">
        <v>63.36</v>
      </c>
      <c r="K196" t="s">
        <v>65</v>
      </c>
      <c r="L196" t="s">
        <v>239</v>
      </c>
      <c r="M196" t="s">
        <v>240</v>
      </c>
      <c r="O196" t="s">
        <v>241</v>
      </c>
      <c r="P196" t="s">
        <v>121</v>
      </c>
    </row>
    <row r="197" spans="1:16" x14ac:dyDescent="0.25">
      <c r="A197">
        <v>10378</v>
      </c>
      <c r="B197" t="s">
        <v>237</v>
      </c>
      <c r="C197" s="1">
        <v>35409</v>
      </c>
      <c r="D197" s="1" t="str">
        <f t="shared" si="9"/>
        <v>dez</v>
      </c>
      <c r="E197" s="1" t="str">
        <f t="shared" si="10"/>
        <v>1996</v>
      </c>
      <c r="F197" s="1">
        <v>35437</v>
      </c>
      <c r="G197" s="1">
        <v>35418</v>
      </c>
      <c r="H197">
        <v>3</v>
      </c>
      <c r="I197" t="str">
        <f t="shared" si="11"/>
        <v>DHL</v>
      </c>
      <c r="J197">
        <v>5.44</v>
      </c>
      <c r="K197" t="s">
        <v>65</v>
      </c>
      <c r="L197" t="s">
        <v>239</v>
      </c>
      <c r="M197" t="s">
        <v>240</v>
      </c>
      <c r="O197" t="s">
        <v>241</v>
      </c>
      <c r="P197" t="s">
        <v>121</v>
      </c>
    </row>
    <row r="198" spans="1:16" x14ac:dyDescent="0.25">
      <c r="A198">
        <v>10434</v>
      </c>
      <c r="B198" t="s">
        <v>237</v>
      </c>
      <c r="C198" s="1">
        <v>35464</v>
      </c>
      <c r="D198" s="1" t="str">
        <f t="shared" si="9"/>
        <v>fev</v>
      </c>
      <c r="E198" s="1" t="str">
        <f t="shared" si="10"/>
        <v>1997</v>
      </c>
      <c r="F198" s="1">
        <v>35492</v>
      </c>
      <c r="G198" s="1">
        <v>35474</v>
      </c>
      <c r="H198">
        <v>2</v>
      </c>
      <c r="I198" t="str">
        <f t="shared" si="11"/>
        <v>USPS</v>
      </c>
      <c r="J198">
        <v>17.920000000000002</v>
      </c>
      <c r="K198" t="s">
        <v>65</v>
      </c>
      <c r="L198" t="s">
        <v>239</v>
      </c>
      <c r="M198" t="s">
        <v>240</v>
      </c>
      <c r="O198" t="s">
        <v>241</v>
      </c>
      <c r="P198" t="s">
        <v>121</v>
      </c>
    </row>
    <row r="199" spans="1:16" x14ac:dyDescent="0.25">
      <c r="A199">
        <v>10460</v>
      </c>
      <c r="B199" t="s">
        <v>237</v>
      </c>
      <c r="C199" s="1">
        <v>35489</v>
      </c>
      <c r="D199" s="1" t="str">
        <f t="shared" si="9"/>
        <v>fev</v>
      </c>
      <c r="E199" s="1" t="str">
        <f t="shared" si="10"/>
        <v>1997</v>
      </c>
      <c r="F199" s="1">
        <v>35517</v>
      </c>
      <c r="G199" s="1">
        <v>35492</v>
      </c>
      <c r="H199">
        <v>1</v>
      </c>
      <c r="I199" t="str">
        <f t="shared" si="11"/>
        <v>UPS</v>
      </c>
      <c r="J199">
        <v>16.27</v>
      </c>
      <c r="K199" t="s">
        <v>65</v>
      </c>
      <c r="L199" t="s">
        <v>239</v>
      </c>
      <c r="M199" t="s">
        <v>240</v>
      </c>
      <c r="O199" t="s">
        <v>241</v>
      </c>
      <c r="P199" t="s">
        <v>121</v>
      </c>
    </row>
    <row r="200" spans="1:16" x14ac:dyDescent="0.25">
      <c r="A200">
        <v>10533</v>
      </c>
      <c r="B200" t="s">
        <v>237</v>
      </c>
      <c r="C200" s="1">
        <v>35562</v>
      </c>
      <c r="D200" s="1" t="str">
        <f t="shared" si="9"/>
        <v>mai</v>
      </c>
      <c r="E200" s="1" t="str">
        <f t="shared" si="10"/>
        <v>1997</v>
      </c>
      <c r="F200" s="1">
        <v>35590</v>
      </c>
      <c r="G200" s="1">
        <v>35572</v>
      </c>
      <c r="H200">
        <v>1</v>
      </c>
      <c r="I200" t="str">
        <f t="shared" si="11"/>
        <v>UPS</v>
      </c>
      <c r="J200">
        <v>188.04</v>
      </c>
      <c r="K200" t="s">
        <v>65</v>
      </c>
      <c r="L200" t="s">
        <v>239</v>
      </c>
      <c r="M200" t="s">
        <v>240</v>
      </c>
      <c r="O200" t="s">
        <v>241</v>
      </c>
      <c r="P200" t="s">
        <v>121</v>
      </c>
    </row>
    <row r="201" spans="1:16" x14ac:dyDescent="0.25">
      <c r="A201">
        <v>10561</v>
      </c>
      <c r="B201" t="s">
        <v>237</v>
      </c>
      <c r="C201" s="1">
        <v>35587</v>
      </c>
      <c r="D201" s="1" t="str">
        <f t="shared" si="9"/>
        <v>jun</v>
      </c>
      <c r="E201" s="1" t="str">
        <f t="shared" si="10"/>
        <v>1997</v>
      </c>
      <c r="F201" s="1">
        <v>35615</v>
      </c>
      <c r="G201" s="1">
        <v>35590</v>
      </c>
      <c r="H201">
        <v>2</v>
      </c>
      <c r="I201" t="str">
        <f t="shared" si="11"/>
        <v>USPS</v>
      </c>
      <c r="J201">
        <v>242.21</v>
      </c>
      <c r="K201" t="s">
        <v>65</v>
      </c>
      <c r="L201" t="s">
        <v>239</v>
      </c>
      <c r="M201" t="s">
        <v>240</v>
      </c>
      <c r="O201" t="s">
        <v>241</v>
      </c>
      <c r="P201" t="s">
        <v>121</v>
      </c>
    </row>
    <row r="202" spans="1:16" x14ac:dyDescent="0.25">
      <c r="A202">
        <v>10703</v>
      </c>
      <c r="B202" t="s">
        <v>237</v>
      </c>
      <c r="C202" s="1">
        <v>35717</v>
      </c>
      <c r="D202" s="1" t="str">
        <f t="shared" si="9"/>
        <v>out</v>
      </c>
      <c r="E202" s="1" t="str">
        <f t="shared" si="10"/>
        <v>1997</v>
      </c>
      <c r="F202" s="1">
        <v>35745</v>
      </c>
      <c r="G202" s="1">
        <v>35723</v>
      </c>
      <c r="H202">
        <v>2</v>
      </c>
      <c r="I202" t="str">
        <f t="shared" si="11"/>
        <v>USPS</v>
      </c>
      <c r="J202">
        <v>152.30000000000001</v>
      </c>
      <c r="K202" t="s">
        <v>65</v>
      </c>
      <c r="L202" t="s">
        <v>239</v>
      </c>
      <c r="M202" t="s">
        <v>240</v>
      </c>
      <c r="O202" t="s">
        <v>241</v>
      </c>
      <c r="P202" t="s">
        <v>121</v>
      </c>
    </row>
    <row r="203" spans="1:16" x14ac:dyDescent="0.25">
      <c r="A203">
        <v>10762</v>
      </c>
      <c r="B203" t="s">
        <v>237</v>
      </c>
      <c r="C203" s="1">
        <v>35766</v>
      </c>
      <c r="D203" s="1" t="str">
        <f t="shared" si="9"/>
        <v>dez</v>
      </c>
      <c r="E203" s="1" t="str">
        <f t="shared" si="10"/>
        <v>1997</v>
      </c>
      <c r="F203" s="1">
        <v>35794</v>
      </c>
      <c r="G203" s="1">
        <v>35773</v>
      </c>
      <c r="H203">
        <v>1</v>
      </c>
      <c r="I203" t="str">
        <f t="shared" si="11"/>
        <v>UPS</v>
      </c>
      <c r="J203">
        <v>328.74</v>
      </c>
      <c r="K203" t="s">
        <v>65</v>
      </c>
      <c r="L203" t="s">
        <v>239</v>
      </c>
      <c r="M203" t="s">
        <v>240</v>
      </c>
      <c r="O203" t="s">
        <v>241</v>
      </c>
      <c r="P203" t="s">
        <v>121</v>
      </c>
    </row>
    <row r="204" spans="1:16" x14ac:dyDescent="0.25">
      <c r="A204">
        <v>10774</v>
      </c>
      <c r="B204" t="s">
        <v>237</v>
      </c>
      <c r="C204" s="1">
        <v>35775</v>
      </c>
      <c r="D204" s="1" t="str">
        <f t="shared" si="9"/>
        <v>dez</v>
      </c>
      <c r="E204" s="1" t="str">
        <f t="shared" si="10"/>
        <v>1997</v>
      </c>
      <c r="F204" s="1">
        <v>35789</v>
      </c>
      <c r="G204" s="1">
        <v>35776</v>
      </c>
      <c r="H204">
        <v>1</v>
      </c>
      <c r="I204" t="str">
        <f t="shared" si="11"/>
        <v>UPS</v>
      </c>
      <c r="J204">
        <v>48.2</v>
      </c>
      <c r="K204" t="s">
        <v>65</v>
      </c>
      <c r="L204" t="s">
        <v>239</v>
      </c>
      <c r="M204" t="s">
        <v>240</v>
      </c>
      <c r="O204" t="s">
        <v>241</v>
      </c>
      <c r="P204" t="s">
        <v>121</v>
      </c>
    </row>
    <row r="205" spans="1:16" x14ac:dyDescent="0.25">
      <c r="A205">
        <v>10824</v>
      </c>
      <c r="B205" t="s">
        <v>237</v>
      </c>
      <c r="C205" s="1">
        <v>35804</v>
      </c>
      <c r="D205" s="1" t="str">
        <f t="shared" si="9"/>
        <v>jan</v>
      </c>
      <c r="E205" s="1" t="str">
        <f t="shared" si="10"/>
        <v>1998</v>
      </c>
      <c r="F205" s="1">
        <v>35832</v>
      </c>
      <c r="G205" s="1">
        <v>35825</v>
      </c>
      <c r="H205">
        <v>1</v>
      </c>
      <c r="I205" t="str">
        <f t="shared" si="11"/>
        <v>UPS</v>
      </c>
      <c r="J205">
        <v>1.23</v>
      </c>
      <c r="K205" t="s">
        <v>65</v>
      </c>
      <c r="L205" t="s">
        <v>239</v>
      </c>
      <c r="M205" t="s">
        <v>240</v>
      </c>
      <c r="O205" t="s">
        <v>241</v>
      </c>
      <c r="P205" t="s">
        <v>121</v>
      </c>
    </row>
    <row r="206" spans="1:16" x14ac:dyDescent="0.25">
      <c r="A206">
        <v>10880</v>
      </c>
      <c r="B206" t="s">
        <v>237</v>
      </c>
      <c r="C206" s="1">
        <v>35836</v>
      </c>
      <c r="D206" s="1" t="str">
        <f t="shared" si="9"/>
        <v>fev</v>
      </c>
      <c r="E206" s="1" t="str">
        <f t="shared" si="10"/>
        <v>1998</v>
      </c>
      <c r="F206" s="1">
        <v>35878</v>
      </c>
      <c r="G206" s="1">
        <v>35844</v>
      </c>
      <c r="H206">
        <v>1</v>
      </c>
      <c r="I206" t="str">
        <f t="shared" si="11"/>
        <v>UPS</v>
      </c>
      <c r="J206">
        <v>88.01</v>
      </c>
      <c r="K206" t="s">
        <v>65</v>
      </c>
      <c r="L206" t="s">
        <v>239</v>
      </c>
      <c r="M206" t="s">
        <v>240</v>
      </c>
      <c r="O206" t="s">
        <v>241</v>
      </c>
      <c r="P206" t="s">
        <v>121</v>
      </c>
    </row>
    <row r="207" spans="1:16" x14ac:dyDescent="0.25">
      <c r="A207">
        <v>10902</v>
      </c>
      <c r="B207" t="s">
        <v>237</v>
      </c>
      <c r="C207" s="1">
        <v>35849</v>
      </c>
      <c r="D207" s="1" t="str">
        <f t="shared" si="9"/>
        <v>fev</v>
      </c>
      <c r="E207" s="1" t="str">
        <f t="shared" si="10"/>
        <v>1998</v>
      </c>
      <c r="F207" s="1">
        <v>35877</v>
      </c>
      <c r="G207" s="1">
        <v>35857</v>
      </c>
      <c r="H207">
        <v>1</v>
      </c>
      <c r="I207" t="str">
        <f t="shared" si="11"/>
        <v>UPS</v>
      </c>
      <c r="J207">
        <v>44.15</v>
      </c>
      <c r="K207" t="s">
        <v>65</v>
      </c>
      <c r="L207" t="s">
        <v>239</v>
      </c>
      <c r="M207" t="s">
        <v>240</v>
      </c>
      <c r="O207" t="s">
        <v>241</v>
      </c>
      <c r="P207" t="s">
        <v>121</v>
      </c>
    </row>
    <row r="208" spans="1:16" x14ac:dyDescent="0.25">
      <c r="A208">
        <v>10955</v>
      </c>
      <c r="B208" t="s">
        <v>237</v>
      </c>
      <c r="C208" s="1">
        <v>35871</v>
      </c>
      <c r="D208" s="1" t="str">
        <f t="shared" si="9"/>
        <v>mar</v>
      </c>
      <c r="E208" s="1" t="str">
        <f t="shared" si="10"/>
        <v>1998</v>
      </c>
      <c r="F208" s="1">
        <v>35899</v>
      </c>
      <c r="G208" s="1">
        <v>35874</v>
      </c>
      <c r="H208">
        <v>2</v>
      </c>
      <c r="I208" t="str">
        <f t="shared" si="11"/>
        <v>USPS</v>
      </c>
      <c r="J208">
        <v>3.26</v>
      </c>
      <c r="K208" t="s">
        <v>65</v>
      </c>
      <c r="L208" t="s">
        <v>239</v>
      </c>
      <c r="M208" t="s">
        <v>240</v>
      </c>
      <c r="O208" t="s">
        <v>241</v>
      </c>
      <c r="P208" t="s">
        <v>121</v>
      </c>
    </row>
    <row r="209" spans="1:16" x14ac:dyDescent="0.25">
      <c r="A209">
        <v>10977</v>
      </c>
      <c r="B209" t="s">
        <v>237</v>
      </c>
      <c r="C209" s="1">
        <v>35880</v>
      </c>
      <c r="D209" s="1" t="str">
        <f t="shared" si="9"/>
        <v>mar</v>
      </c>
      <c r="E209" s="1" t="str">
        <f t="shared" si="10"/>
        <v>1998</v>
      </c>
      <c r="F209" s="1">
        <v>35908</v>
      </c>
      <c r="G209" s="1">
        <v>35895</v>
      </c>
      <c r="H209">
        <v>3</v>
      </c>
      <c r="I209" t="str">
        <f t="shared" si="11"/>
        <v>DHL</v>
      </c>
      <c r="J209">
        <v>208.5</v>
      </c>
      <c r="K209" t="s">
        <v>65</v>
      </c>
      <c r="L209" t="s">
        <v>239</v>
      </c>
      <c r="M209" t="s">
        <v>240</v>
      </c>
      <c r="O209" t="s">
        <v>241</v>
      </c>
      <c r="P209" t="s">
        <v>121</v>
      </c>
    </row>
    <row r="210" spans="1:16" x14ac:dyDescent="0.25">
      <c r="A210">
        <v>10980</v>
      </c>
      <c r="B210" t="s">
        <v>237</v>
      </c>
      <c r="C210" s="1">
        <v>35881</v>
      </c>
      <c r="D210" s="1" t="str">
        <f t="shared" si="9"/>
        <v>mar</v>
      </c>
      <c r="E210" s="1" t="str">
        <f t="shared" si="10"/>
        <v>1998</v>
      </c>
      <c r="F210" s="1">
        <v>35923</v>
      </c>
      <c r="G210" s="1">
        <v>35902</v>
      </c>
      <c r="H210">
        <v>1</v>
      </c>
      <c r="I210" t="str">
        <f t="shared" si="11"/>
        <v>UPS</v>
      </c>
      <c r="J210">
        <v>1.26</v>
      </c>
      <c r="K210" t="s">
        <v>65</v>
      </c>
      <c r="L210" t="s">
        <v>239</v>
      </c>
      <c r="M210" t="s">
        <v>240</v>
      </c>
      <c r="O210" t="s">
        <v>241</v>
      </c>
      <c r="P210" t="s">
        <v>121</v>
      </c>
    </row>
    <row r="211" spans="1:16" x14ac:dyDescent="0.25">
      <c r="A211">
        <v>10993</v>
      </c>
      <c r="B211" t="s">
        <v>237</v>
      </c>
      <c r="C211" s="1">
        <v>35886</v>
      </c>
      <c r="D211" s="1" t="str">
        <f t="shared" si="9"/>
        <v>abr</v>
      </c>
      <c r="E211" s="1" t="str">
        <f t="shared" si="10"/>
        <v>1998</v>
      </c>
      <c r="F211" s="1">
        <v>35914</v>
      </c>
      <c r="G211" s="1">
        <v>35895</v>
      </c>
      <c r="H211">
        <v>3</v>
      </c>
      <c r="I211" t="str">
        <f t="shared" si="11"/>
        <v>DHL</v>
      </c>
      <c r="J211">
        <v>8.81</v>
      </c>
      <c r="K211" t="s">
        <v>65</v>
      </c>
      <c r="L211" t="s">
        <v>239</v>
      </c>
      <c r="M211" t="s">
        <v>240</v>
      </c>
      <c r="O211" t="s">
        <v>241</v>
      </c>
      <c r="P211" t="s">
        <v>121</v>
      </c>
    </row>
    <row r="212" spans="1:16" x14ac:dyDescent="0.25">
      <c r="A212">
        <v>11001</v>
      </c>
      <c r="B212" t="s">
        <v>237</v>
      </c>
      <c r="C212" s="1">
        <v>35891</v>
      </c>
      <c r="D212" s="1" t="str">
        <f t="shared" si="9"/>
        <v>abr</v>
      </c>
      <c r="E212" s="1" t="str">
        <f t="shared" si="10"/>
        <v>1998</v>
      </c>
      <c r="F212" s="1">
        <v>35919</v>
      </c>
      <c r="G212" s="1">
        <v>35899</v>
      </c>
      <c r="H212">
        <v>2</v>
      </c>
      <c r="I212" t="str">
        <f t="shared" si="11"/>
        <v>USPS</v>
      </c>
      <c r="J212">
        <v>197.3</v>
      </c>
      <c r="K212" t="s">
        <v>65</v>
      </c>
      <c r="L212" t="s">
        <v>239</v>
      </c>
      <c r="M212" t="s">
        <v>240</v>
      </c>
      <c r="O212" t="s">
        <v>241</v>
      </c>
      <c r="P212" t="s">
        <v>121</v>
      </c>
    </row>
    <row r="213" spans="1:16" x14ac:dyDescent="0.25">
      <c r="A213">
        <v>11050</v>
      </c>
      <c r="B213" t="s">
        <v>237</v>
      </c>
      <c r="C213" s="1">
        <v>35912</v>
      </c>
      <c r="D213" s="1" t="str">
        <f t="shared" si="9"/>
        <v>abr</v>
      </c>
      <c r="E213" s="1" t="str">
        <f t="shared" si="10"/>
        <v>1998</v>
      </c>
      <c r="F213" s="1">
        <v>35940</v>
      </c>
      <c r="G213" s="1">
        <v>35920</v>
      </c>
      <c r="H213">
        <v>2</v>
      </c>
      <c r="I213" t="str">
        <f t="shared" si="11"/>
        <v>USPS</v>
      </c>
      <c r="J213">
        <v>59.41</v>
      </c>
      <c r="K213" t="s">
        <v>65</v>
      </c>
      <c r="L213" t="s">
        <v>239</v>
      </c>
      <c r="M213" t="s">
        <v>240</v>
      </c>
      <c r="O213" t="s">
        <v>241</v>
      </c>
      <c r="P213" t="s">
        <v>121</v>
      </c>
    </row>
    <row r="214" spans="1:16" x14ac:dyDescent="0.25">
      <c r="A214">
        <v>10267</v>
      </c>
      <c r="B214" t="s">
        <v>243</v>
      </c>
      <c r="C214" s="1">
        <v>35275</v>
      </c>
      <c r="D214" s="1" t="str">
        <f t="shared" si="9"/>
        <v>jul</v>
      </c>
      <c r="E214" s="1" t="str">
        <f t="shared" si="10"/>
        <v>1996</v>
      </c>
      <c r="F214" s="1">
        <v>35303</v>
      </c>
      <c r="G214" s="1">
        <v>35283</v>
      </c>
      <c r="H214">
        <v>1</v>
      </c>
      <c r="I214" t="str">
        <f t="shared" si="11"/>
        <v>UPS</v>
      </c>
      <c r="J214">
        <v>208.58</v>
      </c>
      <c r="K214" t="s">
        <v>64</v>
      </c>
      <c r="L214" t="s">
        <v>245</v>
      </c>
      <c r="M214" t="s">
        <v>246</v>
      </c>
      <c r="O214" t="s">
        <v>247</v>
      </c>
      <c r="P214" t="s">
        <v>94</v>
      </c>
    </row>
    <row r="215" spans="1:16" x14ac:dyDescent="0.25">
      <c r="A215">
        <v>10337</v>
      </c>
      <c r="B215" t="s">
        <v>243</v>
      </c>
      <c r="C215" s="1">
        <v>35362</v>
      </c>
      <c r="D215" s="1" t="str">
        <f t="shared" si="9"/>
        <v>out</v>
      </c>
      <c r="E215" s="1" t="str">
        <f t="shared" si="10"/>
        <v>1996</v>
      </c>
      <c r="F215" s="1">
        <v>35390</v>
      </c>
      <c r="G215" s="1">
        <v>35367</v>
      </c>
      <c r="H215">
        <v>3</v>
      </c>
      <c r="I215" t="str">
        <f t="shared" si="11"/>
        <v>DHL</v>
      </c>
      <c r="J215">
        <v>108.26</v>
      </c>
      <c r="K215" t="s">
        <v>64</v>
      </c>
      <c r="L215" t="s">
        <v>245</v>
      </c>
      <c r="M215" t="s">
        <v>246</v>
      </c>
      <c r="O215" t="s">
        <v>247</v>
      </c>
      <c r="P215" t="s">
        <v>94</v>
      </c>
    </row>
    <row r="216" spans="1:16" x14ac:dyDescent="0.25">
      <c r="A216">
        <v>10342</v>
      </c>
      <c r="B216" t="s">
        <v>243</v>
      </c>
      <c r="C216" s="1">
        <v>35368</v>
      </c>
      <c r="D216" s="1" t="str">
        <f t="shared" si="9"/>
        <v>out</v>
      </c>
      <c r="E216" s="1" t="str">
        <f t="shared" si="10"/>
        <v>1996</v>
      </c>
      <c r="F216" s="1">
        <v>35382</v>
      </c>
      <c r="G216" s="1">
        <v>35373</v>
      </c>
      <c r="H216">
        <v>2</v>
      </c>
      <c r="I216" t="str">
        <f t="shared" si="11"/>
        <v>USPS</v>
      </c>
      <c r="J216">
        <v>54.83</v>
      </c>
      <c r="K216" t="s">
        <v>64</v>
      </c>
      <c r="L216" t="s">
        <v>245</v>
      </c>
      <c r="M216" t="s">
        <v>246</v>
      </c>
      <c r="O216" t="s">
        <v>247</v>
      </c>
      <c r="P216" t="s">
        <v>94</v>
      </c>
    </row>
    <row r="217" spans="1:16" x14ac:dyDescent="0.25">
      <c r="A217">
        <v>10396</v>
      </c>
      <c r="B217" t="s">
        <v>243</v>
      </c>
      <c r="C217" s="1">
        <v>35426</v>
      </c>
      <c r="D217" s="1" t="str">
        <f t="shared" si="9"/>
        <v>dez</v>
      </c>
      <c r="E217" s="1" t="str">
        <f t="shared" si="10"/>
        <v>1996</v>
      </c>
      <c r="F217" s="1">
        <v>35440</v>
      </c>
      <c r="G217" s="1">
        <v>35436</v>
      </c>
      <c r="H217">
        <v>3</v>
      </c>
      <c r="I217" t="str">
        <f t="shared" si="11"/>
        <v>DHL</v>
      </c>
      <c r="J217">
        <v>135.35</v>
      </c>
      <c r="K217" t="s">
        <v>64</v>
      </c>
      <c r="L217" t="s">
        <v>245</v>
      </c>
      <c r="M217" t="s">
        <v>246</v>
      </c>
      <c r="O217" t="s">
        <v>247</v>
      </c>
      <c r="P217" t="s">
        <v>94</v>
      </c>
    </row>
    <row r="218" spans="1:16" x14ac:dyDescent="0.25">
      <c r="A218">
        <v>10488</v>
      </c>
      <c r="B218" t="s">
        <v>243</v>
      </c>
      <c r="C218" s="1">
        <v>35516</v>
      </c>
      <c r="D218" s="1" t="str">
        <f t="shared" si="9"/>
        <v>mar</v>
      </c>
      <c r="E218" s="1" t="str">
        <f t="shared" si="10"/>
        <v>1997</v>
      </c>
      <c r="F218" s="1">
        <v>35544</v>
      </c>
      <c r="G218" s="1">
        <v>35522</v>
      </c>
      <c r="H218">
        <v>2</v>
      </c>
      <c r="I218" t="str">
        <f t="shared" si="11"/>
        <v>USPS</v>
      </c>
      <c r="J218">
        <v>4.93</v>
      </c>
      <c r="K218" t="s">
        <v>64</v>
      </c>
      <c r="L218" t="s">
        <v>245</v>
      </c>
      <c r="M218" t="s">
        <v>246</v>
      </c>
      <c r="O218" t="s">
        <v>247</v>
      </c>
      <c r="P218" t="s">
        <v>94</v>
      </c>
    </row>
    <row r="219" spans="1:16" x14ac:dyDescent="0.25">
      <c r="A219">
        <v>10560</v>
      </c>
      <c r="B219" t="s">
        <v>243</v>
      </c>
      <c r="C219" s="1">
        <v>35587</v>
      </c>
      <c r="D219" s="1" t="str">
        <f t="shared" si="9"/>
        <v>jun</v>
      </c>
      <c r="E219" s="1" t="str">
        <f t="shared" si="10"/>
        <v>1997</v>
      </c>
      <c r="F219" s="1">
        <v>35615</v>
      </c>
      <c r="G219" s="1">
        <v>35590</v>
      </c>
      <c r="H219">
        <v>1</v>
      </c>
      <c r="I219" t="str">
        <f t="shared" si="11"/>
        <v>UPS</v>
      </c>
      <c r="J219">
        <v>36.65</v>
      </c>
      <c r="K219" t="s">
        <v>64</v>
      </c>
      <c r="L219" t="s">
        <v>245</v>
      </c>
      <c r="M219" t="s">
        <v>246</v>
      </c>
      <c r="O219" t="s">
        <v>247</v>
      </c>
      <c r="P219" t="s">
        <v>94</v>
      </c>
    </row>
    <row r="220" spans="1:16" x14ac:dyDescent="0.25">
      <c r="A220">
        <v>10623</v>
      </c>
      <c r="B220" t="s">
        <v>243</v>
      </c>
      <c r="C220" s="1">
        <v>35649</v>
      </c>
      <c r="D220" s="1" t="str">
        <f t="shared" si="9"/>
        <v>ago</v>
      </c>
      <c r="E220" s="1" t="str">
        <f t="shared" si="10"/>
        <v>1997</v>
      </c>
      <c r="F220" s="1">
        <v>35677</v>
      </c>
      <c r="G220" s="1">
        <v>35654</v>
      </c>
      <c r="H220">
        <v>2</v>
      </c>
      <c r="I220" t="str">
        <f t="shared" si="11"/>
        <v>USPS</v>
      </c>
      <c r="J220">
        <v>97.18</v>
      </c>
      <c r="K220" t="s">
        <v>64</v>
      </c>
      <c r="L220" t="s">
        <v>245</v>
      </c>
      <c r="M220" t="s">
        <v>246</v>
      </c>
      <c r="O220" t="s">
        <v>247</v>
      </c>
      <c r="P220" t="s">
        <v>94</v>
      </c>
    </row>
    <row r="221" spans="1:16" x14ac:dyDescent="0.25">
      <c r="A221">
        <v>10653</v>
      </c>
      <c r="B221" t="s">
        <v>243</v>
      </c>
      <c r="C221" s="1">
        <v>35675</v>
      </c>
      <c r="D221" s="1" t="str">
        <f t="shared" si="9"/>
        <v>set</v>
      </c>
      <c r="E221" s="1" t="str">
        <f t="shared" si="10"/>
        <v>1997</v>
      </c>
      <c r="F221" s="1">
        <v>35703</v>
      </c>
      <c r="G221" s="1">
        <v>35692</v>
      </c>
      <c r="H221">
        <v>1</v>
      </c>
      <c r="I221" t="str">
        <f t="shared" si="11"/>
        <v>UPS</v>
      </c>
      <c r="J221">
        <v>93.25</v>
      </c>
      <c r="K221" t="s">
        <v>64</v>
      </c>
      <c r="L221" t="s">
        <v>245</v>
      </c>
      <c r="M221" t="s">
        <v>246</v>
      </c>
      <c r="O221" t="s">
        <v>247</v>
      </c>
      <c r="P221" t="s">
        <v>94</v>
      </c>
    </row>
    <row r="222" spans="1:16" x14ac:dyDescent="0.25">
      <c r="A222">
        <v>10670</v>
      </c>
      <c r="B222" t="s">
        <v>243</v>
      </c>
      <c r="C222" s="1">
        <v>35689</v>
      </c>
      <c r="D222" s="1" t="str">
        <f t="shared" si="9"/>
        <v>set</v>
      </c>
      <c r="E222" s="1" t="str">
        <f t="shared" si="10"/>
        <v>1997</v>
      </c>
      <c r="F222" s="1">
        <v>35717</v>
      </c>
      <c r="G222" s="1">
        <v>35691</v>
      </c>
      <c r="H222">
        <v>1</v>
      </c>
      <c r="I222" t="str">
        <f t="shared" si="11"/>
        <v>UPS</v>
      </c>
      <c r="J222">
        <v>203.48</v>
      </c>
      <c r="K222" t="s">
        <v>64</v>
      </c>
      <c r="L222" t="s">
        <v>245</v>
      </c>
      <c r="M222" t="s">
        <v>246</v>
      </c>
      <c r="O222" t="s">
        <v>247</v>
      </c>
      <c r="P222" t="s">
        <v>94</v>
      </c>
    </row>
    <row r="223" spans="1:16" x14ac:dyDescent="0.25">
      <c r="A223">
        <v>10675</v>
      </c>
      <c r="B223" t="s">
        <v>243</v>
      </c>
      <c r="C223" s="1">
        <v>35692</v>
      </c>
      <c r="D223" s="1" t="str">
        <f t="shared" si="9"/>
        <v>set</v>
      </c>
      <c r="E223" s="1" t="str">
        <f t="shared" si="10"/>
        <v>1997</v>
      </c>
      <c r="F223" s="1">
        <v>35720</v>
      </c>
      <c r="G223" s="1">
        <v>35696</v>
      </c>
      <c r="H223">
        <v>2</v>
      </c>
      <c r="I223" t="str">
        <f t="shared" si="11"/>
        <v>USPS</v>
      </c>
      <c r="J223">
        <v>31.85</v>
      </c>
      <c r="K223" t="s">
        <v>64</v>
      </c>
      <c r="L223" t="s">
        <v>245</v>
      </c>
      <c r="M223" t="s">
        <v>246</v>
      </c>
      <c r="O223" t="s">
        <v>247</v>
      </c>
      <c r="P223" t="s">
        <v>94</v>
      </c>
    </row>
    <row r="224" spans="1:16" x14ac:dyDescent="0.25">
      <c r="A224">
        <v>10717</v>
      </c>
      <c r="B224" t="s">
        <v>243</v>
      </c>
      <c r="C224" s="1">
        <v>35727</v>
      </c>
      <c r="D224" s="1" t="str">
        <f t="shared" si="9"/>
        <v>out</v>
      </c>
      <c r="E224" s="1" t="str">
        <f t="shared" si="10"/>
        <v>1997</v>
      </c>
      <c r="F224" s="1">
        <v>35755</v>
      </c>
      <c r="G224" s="1">
        <v>35732</v>
      </c>
      <c r="H224">
        <v>2</v>
      </c>
      <c r="I224" t="str">
        <f t="shared" si="11"/>
        <v>USPS</v>
      </c>
      <c r="J224">
        <v>59.25</v>
      </c>
      <c r="K224" t="s">
        <v>64</v>
      </c>
      <c r="L224" t="s">
        <v>245</v>
      </c>
      <c r="M224" t="s">
        <v>246</v>
      </c>
      <c r="O224" t="s">
        <v>247</v>
      </c>
      <c r="P224" t="s">
        <v>94</v>
      </c>
    </row>
    <row r="225" spans="1:16" x14ac:dyDescent="0.25">
      <c r="A225">
        <v>10791</v>
      </c>
      <c r="B225" t="s">
        <v>243</v>
      </c>
      <c r="C225" s="1">
        <v>35787</v>
      </c>
      <c r="D225" s="1" t="str">
        <f t="shared" si="9"/>
        <v>dez</v>
      </c>
      <c r="E225" s="1" t="str">
        <f t="shared" si="10"/>
        <v>1997</v>
      </c>
      <c r="F225" s="1">
        <v>35815</v>
      </c>
      <c r="G225" s="1">
        <v>35796</v>
      </c>
      <c r="H225">
        <v>2</v>
      </c>
      <c r="I225" t="str">
        <f t="shared" si="11"/>
        <v>USPS</v>
      </c>
      <c r="J225">
        <v>16.850000000000001</v>
      </c>
      <c r="K225" t="s">
        <v>64</v>
      </c>
      <c r="L225" t="s">
        <v>245</v>
      </c>
      <c r="M225" t="s">
        <v>246</v>
      </c>
      <c r="O225" t="s">
        <v>247</v>
      </c>
      <c r="P225" t="s">
        <v>94</v>
      </c>
    </row>
    <row r="226" spans="1:16" x14ac:dyDescent="0.25">
      <c r="A226">
        <v>10859</v>
      </c>
      <c r="B226" t="s">
        <v>243</v>
      </c>
      <c r="C226" s="1">
        <v>35824</v>
      </c>
      <c r="D226" s="1" t="str">
        <f t="shared" si="9"/>
        <v>jan</v>
      </c>
      <c r="E226" s="1" t="str">
        <f t="shared" si="10"/>
        <v>1998</v>
      </c>
      <c r="F226" s="1">
        <v>35852</v>
      </c>
      <c r="G226" s="1">
        <v>35828</v>
      </c>
      <c r="H226">
        <v>2</v>
      </c>
      <c r="I226" t="str">
        <f t="shared" si="11"/>
        <v>USPS</v>
      </c>
      <c r="J226">
        <v>76.099999999999994</v>
      </c>
      <c r="K226" t="s">
        <v>64</v>
      </c>
      <c r="L226" t="s">
        <v>245</v>
      </c>
      <c r="M226" t="s">
        <v>246</v>
      </c>
      <c r="O226" t="s">
        <v>247</v>
      </c>
      <c r="P226" t="s">
        <v>94</v>
      </c>
    </row>
    <row r="227" spans="1:16" x14ac:dyDescent="0.25">
      <c r="A227">
        <v>10929</v>
      </c>
      <c r="B227" t="s">
        <v>243</v>
      </c>
      <c r="C227" s="1">
        <v>35859</v>
      </c>
      <c r="D227" s="1" t="str">
        <f t="shared" si="9"/>
        <v>mar</v>
      </c>
      <c r="E227" s="1" t="str">
        <f t="shared" si="10"/>
        <v>1998</v>
      </c>
      <c r="F227" s="1">
        <v>35887</v>
      </c>
      <c r="G227" s="1">
        <v>35866</v>
      </c>
      <c r="H227">
        <v>1</v>
      </c>
      <c r="I227" t="str">
        <f t="shared" si="11"/>
        <v>UPS</v>
      </c>
      <c r="J227">
        <v>33.93</v>
      </c>
      <c r="K227" t="s">
        <v>64</v>
      </c>
      <c r="L227" t="s">
        <v>245</v>
      </c>
      <c r="M227" t="s">
        <v>246</v>
      </c>
      <c r="O227" t="s">
        <v>247</v>
      </c>
      <c r="P227" t="s">
        <v>94</v>
      </c>
    </row>
    <row r="228" spans="1:16" x14ac:dyDescent="0.25">
      <c r="A228">
        <v>11012</v>
      </c>
      <c r="B228" t="s">
        <v>243</v>
      </c>
      <c r="C228" s="1">
        <v>35894</v>
      </c>
      <c r="D228" s="1" t="str">
        <f t="shared" si="9"/>
        <v>abr</v>
      </c>
      <c r="E228" s="1" t="str">
        <f t="shared" si="10"/>
        <v>1998</v>
      </c>
      <c r="F228" s="1">
        <v>35908</v>
      </c>
      <c r="G228" s="1">
        <v>35902</v>
      </c>
      <c r="H228">
        <v>3</v>
      </c>
      <c r="I228" t="str">
        <f t="shared" si="11"/>
        <v>DHL</v>
      </c>
      <c r="J228">
        <v>242.95</v>
      </c>
      <c r="K228" t="s">
        <v>64</v>
      </c>
      <c r="L228" t="s">
        <v>245</v>
      </c>
      <c r="M228" t="s">
        <v>246</v>
      </c>
      <c r="O228" t="s">
        <v>247</v>
      </c>
      <c r="P228" t="s">
        <v>94</v>
      </c>
    </row>
    <row r="229" spans="1:16" x14ac:dyDescent="0.25">
      <c r="A229">
        <v>10671</v>
      </c>
      <c r="B229" t="s">
        <v>249</v>
      </c>
      <c r="C229" s="1">
        <v>35690</v>
      </c>
      <c r="D229" s="1" t="str">
        <f t="shared" si="9"/>
        <v>set</v>
      </c>
      <c r="E229" s="1" t="str">
        <f t="shared" si="10"/>
        <v>1997</v>
      </c>
      <c r="F229" s="1">
        <v>35718</v>
      </c>
      <c r="G229" s="1">
        <v>35697</v>
      </c>
      <c r="H229">
        <v>1</v>
      </c>
      <c r="I229" t="str">
        <f t="shared" si="11"/>
        <v>UPS</v>
      </c>
      <c r="J229">
        <v>30.34</v>
      </c>
      <c r="K229" t="s">
        <v>63</v>
      </c>
      <c r="L229" t="s">
        <v>251</v>
      </c>
      <c r="M229" t="s">
        <v>205</v>
      </c>
      <c r="O229" t="s">
        <v>206</v>
      </c>
      <c r="P229" t="s">
        <v>134</v>
      </c>
    </row>
    <row r="230" spans="1:16" x14ac:dyDescent="0.25">
      <c r="A230">
        <v>10860</v>
      </c>
      <c r="B230" t="s">
        <v>249</v>
      </c>
      <c r="C230" s="1">
        <v>35824</v>
      </c>
      <c r="D230" s="1" t="str">
        <f t="shared" si="9"/>
        <v>jan</v>
      </c>
      <c r="E230" s="1" t="str">
        <f t="shared" si="10"/>
        <v>1998</v>
      </c>
      <c r="F230" s="1">
        <v>35852</v>
      </c>
      <c r="G230" s="1">
        <v>35830</v>
      </c>
      <c r="H230">
        <v>3</v>
      </c>
      <c r="I230" t="str">
        <f t="shared" si="11"/>
        <v>DHL</v>
      </c>
      <c r="J230">
        <v>19.260000000000002</v>
      </c>
      <c r="K230" t="s">
        <v>63</v>
      </c>
      <c r="L230" t="s">
        <v>251</v>
      </c>
      <c r="M230" t="s">
        <v>205</v>
      </c>
      <c r="O230" t="s">
        <v>206</v>
      </c>
      <c r="P230" t="s">
        <v>134</v>
      </c>
    </row>
    <row r="231" spans="1:16" x14ac:dyDescent="0.25">
      <c r="A231">
        <v>10971</v>
      </c>
      <c r="B231" t="s">
        <v>249</v>
      </c>
      <c r="C231" s="1">
        <v>35878</v>
      </c>
      <c r="D231" s="1" t="str">
        <f t="shared" si="9"/>
        <v>mar</v>
      </c>
      <c r="E231" s="1" t="str">
        <f t="shared" si="10"/>
        <v>1998</v>
      </c>
      <c r="F231" s="1">
        <v>35906</v>
      </c>
      <c r="G231" s="1">
        <v>35887</v>
      </c>
      <c r="H231">
        <v>2</v>
      </c>
      <c r="I231" t="str">
        <f t="shared" si="11"/>
        <v>USPS</v>
      </c>
      <c r="J231">
        <v>121.82</v>
      </c>
      <c r="K231" t="s">
        <v>63</v>
      </c>
      <c r="L231" t="s">
        <v>251</v>
      </c>
      <c r="M231" t="s">
        <v>205</v>
      </c>
      <c r="O231" t="s">
        <v>206</v>
      </c>
      <c r="P231" t="s">
        <v>134</v>
      </c>
    </row>
    <row r="232" spans="1:16" x14ac:dyDescent="0.25">
      <c r="A232">
        <v>10422</v>
      </c>
      <c r="B232" t="s">
        <v>253</v>
      </c>
      <c r="C232" s="1">
        <v>35452</v>
      </c>
      <c r="D232" s="1" t="str">
        <f t="shared" si="9"/>
        <v>jan</v>
      </c>
      <c r="E232" s="1" t="str">
        <f t="shared" si="10"/>
        <v>1997</v>
      </c>
      <c r="F232" s="1">
        <v>35480</v>
      </c>
      <c r="G232" s="1">
        <v>35461</v>
      </c>
      <c r="H232">
        <v>1</v>
      </c>
      <c r="I232" t="str">
        <f t="shared" si="11"/>
        <v>UPS</v>
      </c>
      <c r="J232">
        <v>3.02</v>
      </c>
      <c r="K232" t="s">
        <v>62</v>
      </c>
      <c r="L232" t="s">
        <v>255</v>
      </c>
      <c r="M232" t="s">
        <v>256</v>
      </c>
      <c r="O232" t="s">
        <v>257</v>
      </c>
      <c r="P232" t="s">
        <v>258</v>
      </c>
    </row>
    <row r="233" spans="1:16" x14ac:dyDescent="0.25">
      <c r="A233">
        <v>10710</v>
      </c>
      <c r="B233" t="s">
        <v>253</v>
      </c>
      <c r="C233" s="1">
        <v>35723</v>
      </c>
      <c r="D233" s="1" t="str">
        <f t="shared" si="9"/>
        <v>out</v>
      </c>
      <c r="E233" s="1" t="str">
        <f t="shared" si="10"/>
        <v>1997</v>
      </c>
      <c r="F233" s="1">
        <v>35751</v>
      </c>
      <c r="G233" s="1">
        <v>35726</v>
      </c>
      <c r="H233">
        <v>1</v>
      </c>
      <c r="I233" t="str">
        <f t="shared" si="11"/>
        <v>UPS</v>
      </c>
      <c r="J233">
        <v>4.9800000000000004</v>
      </c>
      <c r="K233" t="s">
        <v>62</v>
      </c>
      <c r="L233" t="s">
        <v>255</v>
      </c>
      <c r="M233" t="s">
        <v>256</v>
      </c>
      <c r="O233" t="s">
        <v>257</v>
      </c>
      <c r="P233" t="s">
        <v>258</v>
      </c>
    </row>
    <row r="234" spans="1:16" x14ac:dyDescent="0.25">
      <c r="A234">
        <v>10753</v>
      </c>
      <c r="B234" t="s">
        <v>253</v>
      </c>
      <c r="C234" s="1">
        <v>35759</v>
      </c>
      <c r="D234" s="1" t="str">
        <f t="shared" si="9"/>
        <v>nov</v>
      </c>
      <c r="E234" s="1" t="str">
        <f t="shared" si="10"/>
        <v>1997</v>
      </c>
      <c r="F234" s="1">
        <v>35787</v>
      </c>
      <c r="G234" s="1">
        <v>35761</v>
      </c>
      <c r="H234">
        <v>1</v>
      </c>
      <c r="I234" t="str">
        <f t="shared" si="11"/>
        <v>UPS</v>
      </c>
      <c r="J234">
        <v>7.7</v>
      </c>
      <c r="K234" t="s">
        <v>62</v>
      </c>
      <c r="L234" t="s">
        <v>255</v>
      </c>
      <c r="M234" t="s">
        <v>256</v>
      </c>
      <c r="O234" t="s">
        <v>257</v>
      </c>
      <c r="P234" t="s">
        <v>258</v>
      </c>
    </row>
    <row r="235" spans="1:16" x14ac:dyDescent="0.25">
      <c r="A235">
        <v>10807</v>
      </c>
      <c r="B235" t="s">
        <v>253</v>
      </c>
      <c r="C235" s="1">
        <v>35795</v>
      </c>
      <c r="D235" s="1" t="str">
        <f t="shared" si="9"/>
        <v>dez</v>
      </c>
      <c r="E235" s="1" t="str">
        <f t="shared" si="10"/>
        <v>1997</v>
      </c>
      <c r="F235" s="1">
        <v>35823</v>
      </c>
      <c r="G235" s="1">
        <v>35825</v>
      </c>
      <c r="H235">
        <v>1</v>
      </c>
      <c r="I235" t="str">
        <f t="shared" si="11"/>
        <v>UPS</v>
      </c>
      <c r="J235">
        <v>1.36</v>
      </c>
      <c r="K235" t="s">
        <v>62</v>
      </c>
      <c r="L235" t="s">
        <v>255</v>
      </c>
      <c r="M235" t="s">
        <v>256</v>
      </c>
      <c r="O235" t="s">
        <v>257</v>
      </c>
      <c r="P235" t="s">
        <v>258</v>
      </c>
    </row>
    <row r="236" spans="1:16" x14ac:dyDescent="0.25">
      <c r="A236">
        <v>11026</v>
      </c>
      <c r="B236" t="s">
        <v>253</v>
      </c>
      <c r="C236" s="1">
        <v>35900</v>
      </c>
      <c r="D236" s="1" t="str">
        <f t="shared" si="9"/>
        <v>abr</v>
      </c>
      <c r="E236" s="1" t="str">
        <f t="shared" si="10"/>
        <v>1998</v>
      </c>
      <c r="F236" s="1">
        <v>35928</v>
      </c>
      <c r="G236" s="1">
        <v>35913</v>
      </c>
      <c r="H236">
        <v>1</v>
      </c>
      <c r="I236" t="str">
        <f t="shared" si="11"/>
        <v>UPS</v>
      </c>
      <c r="J236">
        <v>47.09</v>
      </c>
      <c r="K236" t="s">
        <v>62</v>
      </c>
      <c r="L236" t="s">
        <v>255</v>
      </c>
      <c r="M236" t="s">
        <v>256</v>
      </c>
      <c r="O236" t="s">
        <v>257</v>
      </c>
      <c r="P236" t="s">
        <v>258</v>
      </c>
    </row>
    <row r="237" spans="1:16" x14ac:dyDescent="0.25">
      <c r="A237">
        <v>11060</v>
      </c>
      <c r="B237" t="s">
        <v>253</v>
      </c>
      <c r="C237" s="1">
        <v>35915</v>
      </c>
      <c r="D237" s="1" t="str">
        <f t="shared" si="9"/>
        <v>abr</v>
      </c>
      <c r="E237" s="1" t="str">
        <f t="shared" si="10"/>
        <v>1998</v>
      </c>
      <c r="F237" s="1">
        <v>35943</v>
      </c>
      <c r="G237" s="1">
        <v>35919</v>
      </c>
      <c r="H237">
        <v>2</v>
      </c>
      <c r="I237" t="str">
        <f t="shared" si="11"/>
        <v>USPS</v>
      </c>
      <c r="J237">
        <v>10.98</v>
      </c>
      <c r="K237" t="s">
        <v>62</v>
      </c>
      <c r="L237" t="s">
        <v>255</v>
      </c>
      <c r="M237" t="s">
        <v>256</v>
      </c>
      <c r="O237" t="s">
        <v>257</v>
      </c>
      <c r="P237" t="s">
        <v>258</v>
      </c>
    </row>
    <row r="238" spans="1:16" x14ac:dyDescent="0.25">
      <c r="A238">
        <v>10328</v>
      </c>
      <c r="B238" t="s">
        <v>260</v>
      </c>
      <c r="C238" s="1">
        <v>35352</v>
      </c>
      <c r="D238" s="1" t="str">
        <f t="shared" si="9"/>
        <v>out</v>
      </c>
      <c r="E238" s="1" t="str">
        <f t="shared" si="10"/>
        <v>1996</v>
      </c>
      <c r="F238" s="1">
        <v>35380</v>
      </c>
      <c r="G238" s="1">
        <v>35355</v>
      </c>
      <c r="H238">
        <v>3</v>
      </c>
      <c r="I238" t="str">
        <f t="shared" si="11"/>
        <v>DHL</v>
      </c>
      <c r="J238">
        <v>87.03</v>
      </c>
      <c r="K238" t="s">
        <v>61</v>
      </c>
      <c r="L238" t="s">
        <v>262</v>
      </c>
      <c r="M238" t="s">
        <v>263</v>
      </c>
      <c r="O238" t="s">
        <v>264</v>
      </c>
      <c r="P238" t="s">
        <v>265</v>
      </c>
    </row>
    <row r="239" spans="1:16" x14ac:dyDescent="0.25">
      <c r="A239">
        <v>10352</v>
      </c>
      <c r="B239" t="s">
        <v>260</v>
      </c>
      <c r="C239" s="1">
        <v>35381</v>
      </c>
      <c r="D239" s="1" t="str">
        <f t="shared" si="9"/>
        <v>nov</v>
      </c>
      <c r="E239" s="1" t="str">
        <f t="shared" si="10"/>
        <v>1996</v>
      </c>
      <c r="F239" s="1">
        <v>35395</v>
      </c>
      <c r="G239" s="1">
        <v>35387</v>
      </c>
      <c r="H239">
        <v>3</v>
      </c>
      <c r="I239" t="str">
        <f t="shared" si="11"/>
        <v>DHL</v>
      </c>
      <c r="J239">
        <v>1.3</v>
      </c>
      <c r="K239" t="s">
        <v>61</v>
      </c>
      <c r="L239" t="s">
        <v>262</v>
      </c>
      <c r="M239" t="s">
        <v>263</v>
      </c>
      <c r="O239" t="s">
        <v>264</v>
      </c>
      <c r="P239" t="s">
        <v>265</v>
      </c>
    </row>
    <row r="240" spans="1:16" x14ac:dyDescent="0.25">
      <c r="A240">
        <v>10464</v>
      </c>
      <c r="B240" t="s">
        <v>260</v>
      </c>
      <c r="C240" s="1">
        <v>35493</v>
      </c>
      <c r="D240" s="1" t="str">
        <f t="shared" si="9"/>
        <v>mar</v>
      </c>
      <c r="E240" s="1" t="str">
        <f t="shared" si="10"/>
        <v>1997</v>
      </c>
      <c r="F240" s="1">
        <v>35521</v>
      </c>
      <c r="G240" s="1">
        <v>35503</v>
      </c>
      <c r="H240">
        <v>2</v>
      </c>
      <c r="I240" t="str">
        <f t="shared" si="11"/>
        <v>USPS</v>
      </c>
      <c r="J240">
        <v>89</v>
      </c>
      <c r="K240" t="s">
        <v>61</v>
      </c>
      <c r="L240" t="s">
        <v>262</v>
      </c>
      <c r="M240" t="s">
        <v>263</v>
      </c>
      <c r="O240" t="s">
        <v>264</v>
      </c>
      <c r="P240" t="s">
        <v>265</v>
      </c>
    </row>
    <row r="241" spans="1:16" x14ac:dyDescent="0.25">
      <c r="A241">
        <v>10491</v>
      </c>
      <c r="B241" t="s">
        <v>260</v>
      </c>
      <c r="C241" s="1">
        <v>35520</v>
      </c>
      <c r="D241" s="1" t="str">
        <f t="shared" si="9"/>
        <v>mar</v>
      </c>
      <c r="E241" s="1" t="str">
        <f t="shared" si="10"/>
        <v>1997</v>
      </c>
      <c r="F241" s="1">
        <v>35548</v>
      </c>
      <c r="G241" s="1">
        <v>35528</v>
      </c>
      <c r="H241">
        <v>3</v>
      </c>
      <c r="I241" t="str">
        <f t="shared" si="11"/>
        <v>DHL</v>
      </c>
      <c r="J241">
        <v>16.96</v>
      </c>
      <c r="K241" t="s">
        <v>61</v>
      </c>
      <c r="L241" t="s">
        <v>262</v>
      </c>
      <c r="M241" t="s">
        <v>263</v>
      </c>
      <c r="O241" t="s">
        <v>264</v>
      </c>
      <c r="P241" t="s">
        <v>265</v>
      </c>
    </row>
    <row r="242" spans="1:16" x14ac:dyDescent="0.25">
      <c r="A242">
        <v>10551</v>
      </c>
      <c r="B242" t="s">
        <v>260</v>
      </c>
      <c r="C242" s="1">
        <v>35578</v>
      </c>
      <c r="D242" s="1" t="str">
        <f t="shared" si="9"/>
        <v>mai</v>
      </c>
      <c r="E242" s="1" t="str">
        <f t="shared" si="10"/>
        <v>1997</v>
      </c>
      <c r="F242" s="1">
        <v>35620</v>
      </c>
      <c r="G242" s="1">
        <v>35587</v>
      </c>
      <c r="H242">
        <v>3</v>
      </c>
      <c r="I242" t="str">
        <f t="shared" si="11"/>
        <v>DHL</v>
      </c>
      <c r="J242">
        <v>72.95</v>
      </c>
      <c r="K242" t="s">
        <v>61</v>
      </c>
      <c r="L242" t="s">
        <v>262</v>
      </c>
      <c r="M242" t="s">
        <v>263</v>
      </c>
      <c r="O242" t="s">
        <v>264</v>
      </c>
      <c r="P242" t="s">
        <v>265</v>
      </c>
    </row>
    <row r="243" spans="1:16" x14ac:dyDescent="0.25">
      <c r="A243">
        <v>10604</v>
      </c>
      <c r="B243" t="s">
        <v>260</v>
      </c>
      <c r="C243" s="1">
        <v>35629</v>
      </c>
      <c r="D243" s="1" t="str">
        <f t="shared" si="9"/>
        <v>jul</v>
      </c>
      <c r="E243" s="1" t="str">
        <f t="shared" si="10"/>
        <v>1997</v>
      </c>
      <c r="F243" s="1">
        <v>35657</v>
      </c>
      <c r="G243" s="1">
        <v>35640</v>
      </c>
      <c r="H243">
        <v>1</v>
      </c>
      <c r="I243" t="str">
        <f t="shared" si="11"/>
        <v>UPS</v>
      </c>
      <c r="J243">
        <v>7.46</v>
      </c>
      <c r="K243" t="s">
        <v>61</v>
      </c>
      <c r="L243" t="s">
        <v>262</v>
      </c>
      <c r="M243" t="s">
        <v>263</v>
      </c>
      <c r="O243" t="s">
        <v>264</v>
      </c>
      <c r="P243" t="s">
        <v>265</v>
      </c>
    </row>
    <row r="244" spans="1:16" x14ac:dyDescent="0.25">
      <c r="A244">
        <v>10664</v>
      </c>
      <c r="B244" t="s">
        <v>260</v>
      </c>
      <c r="C244" s="1">
        <v>35683</v>
      </c>
      <c r="D244" s="1" t="str">
        <f t="shared" si="9"/>
        <v>set</v>
      </c>
      <c r="E244" s="1" t="str">
        <f t="shared" si="10"/>
        <v>1997</v>
      </c>
      <c r="F244" s="1">
        <v>35711</v>
      </c>
      <c r="G244" s="1">
        <v>35692</v>
      </c>
      <c r="H244">
        <v>3</v>
      </c>
      <c r="I244" t="str">
        <f t="shared" si="11"/>
        <v>DHL</v>
      </c>
      <c r="J244">
        <v>1.27</v>
      </c>
      <c r="K244" t="s">
        <v>61</v>
      </c>
      <c r="L244" t="s">
        <v>262</v>
      </c>
      <c r="M244" t="s">
        <v>263</v>
      </c>
      <c r="O244" t="s">
        <v>264</v>
      </c>
      <c r="P244" t="s">
        <v>265</v>
      </c>
    </row>
    <row r="245" spans="1:16" x14ac:dyDescent="0.25">
      <c r="A245">
        <v>10963</v>
      </c>
      <c r="B245" t="s">
        <v>260</v>
      </c>
      <c r="C245" s="1">
        <v>35873</v>
      </c>
      <c r="D245" s="1" t="str">
        <f t="shared" si="9"/>
        <v>mar</v>
      </c>
      <c r="E245" s="1" t="str">
        <f t="shared" si="10"/>
        <v>1998</v>
      </c>
      <c r="F245" s="1">
        <v>35901</v>
      </c>
      <c r="G245" s="1">
        <v>35880</v>
      </c>
      <c r="H245">
        <v>3</v>
      </c>
      <c r="I245" t="str">
        <f t="shared" si="11"/>
        <v>DHL</v>
      </c>
      <c r="J245">
        <v>2.7</v>
      </c>
      <c r="K245" t="s">
        <v>61</v>
      </c>
      <c r="L245" t="s">
        <v>262</v>
      </c>
      <c r="M245" t="s">
        <v>263</v>
      </c>
      <c r="O245" t="s">
        <v>264</v>
      </c>
      <c r="P245" t="s">
        <v>265</v>
      </c>
    </row>
    <row r="246" spans="1:16" x14ac:dyDescent="0.25">
      <c r="A246">
        <v>10366</v>
      </c>
      <c r="B246" t="s">
        <v>267</v>
      </c>
      <c r="C246" s="1">
        <v>35397</v>
      </c>
      <c r="D246" s="1" t="str">
        <f t="shared" si="9"/>
        <v>nov</v>
      </c>
      <c r="E246" s="1" t="str">
        <f t="shared" si="10"/>
        <v>1996</v>
      </c>
      <c r="F246" s="1">
        <v>35439</v>
      </c>
      <c r="G246" s="1">
        <v>35429</v>
      </c>
      <c r="H246">
        <v>2</v>
      </c>
      <c r="I246" t="str">
        <f t="shared" si="11"/>
        <v>USPS</v>
      </c>
      <c r="J246">
        <v>10.14</v>
      </c>
      <c r="K246" t="s">
        <v>664</v>
      </c>
      <c r="L246" t="s">
        <v>269</v>
      </c>
      <c r="M246" t="s">
        <v>270</v>
      </c>
      <c r="O246" t="s">
        <v>665</v>
      </c>
      <c r="P246" t="s">
        <v>141</v>
      </c>
    </row>
    <row r="247" spans="1:16" x14ac:dyDescent="0.25">
      <c r="A247">
        <v>10426</v>
      </c>
      <c r="B247" t="s">
        <v>267</v>
      </c>
      <c r="C247" s="1">
        <v>35457</v>
      </c>
      <c r="D247" s="1" t="str">
        <f t="shared" si="9"/>
        <v>jan</v>
      </c>
      <c r="E247" s="1" t="str">
        <f t="shared" si="10"/>
        <v>1997</v>
      </c>
      <c r="F247" s="1">
        <v>35485</v>
      </c>
      <c r="G247" s="1">
        <v>35467</v>
      </c>
      <c r="H247">
        <v>1</v>
      </c>
      <c r="I247" t="str">
        <f t="shared" si="11"/>
        <v>UPS</v>
      </c>
      <c r="J247">
        <v>18.690000000000001</v>
      </c>
      <c r="K247" t="s">
        <v>664</v>
      </c>
      <c r="L247" t="s">
        <v>269</v>
      </c>
      <c r="M247" t="s">
        <v>270</v>
      </c>
      <c r="O247" t="s">
        <v>665</v>
      </c>
      <c r="P247" t="s">
        <v>141</v>
      </c>
    </row>
    <row r="248" spans="1:16" x14ac:dyDescent="0.25">
      <c r="A248">
        <v>10568</v>
      </c>
      <c r="B248" t="s">
        <v>267</v>
      </c>
      <c r="C248" s="1">
        <v>35594</v>
      </c>
      <c r="D248" s="1" t="str">
        <f t="shared" si="9"/>
        <v>jun</v>
      </c>
      <c r="E248" s="1" t="str">
        <f t="shared" si="10"/>
        <v>1997</v>
      </c>
      <c r="F248" s="1">
        <v>35622</v>
      </c>
      <c r="G248" s="1">
        <v>35620</v>
      </c>
      <c r="H248">
        <v>3</v>
      </c>
      <c r="I248" t="str">
        <f t="shared" si="11"/>
        <v>DHL</v>
      </c>
      <c r="J248">
        <v>6.54</v>
      </c>
      <c r="K248" t="s">
        <v>664</v>
      </c>
      <c r="L248" t="s">
        <v>269</v>
      </c>
      <c r="M248" t="s">
        <v>270</v>
      </c>
      <c r="O248" t="s">
        <v>665</v>
      </c>
      <c r="P248" t="s">
        <v>141</v>
      </c>
    </row>
    <row r="249" spans="1:16" x14ac:dyDescent="0.25">
      <c r="A249">
        <v>10887</v>
      </c>
      <c r="B249" t="s">
        <v>267</v>
      </c>
      <c r="C249" s="1">
        <v>35839</v>
      </c>
      <c r="D249" s="1" t="str">
        <f t="shared" si="9"/>
        <v>fev</v>
      </c>
      <c r="E249" s="1" t="str">
        <f t="shared" si="10"/>
        <v>1998</v>
      </c>
      <c r="F249" s="1">
        <v>35867</v>
      </c>
      <c r="G249" s="1">
        <v>35842</v>
      </c>
      <c r="H249">
        <v>3</v>
      </c>
      <c r="I249" t="str">
        <f t="shared" si="11"/>
        <v>DHL</v>
      </c>
      <c r="J249">
        <v>1.25</v>
      </c>
      <c r="K249" t="s">
        <v>664</v>
      </c>
      <c r="L249" t="s">
        <v>269</v>
      </c>
      <c r="M249" t="s">
        <v>270</v>
      </c>
      <c r="O249" t="s">
        <v>665</v>
      </c>
      <c r="P249" t="s">
        <v>141</v>
      </c>
    </row>
    <row r="250" spans="1:16" x14ac:dyDescent="0.25">
      <c r="A250">
        <v>10928</v>
      </c>
      <c r="B250" t="s">
        <v>267</v>
      </c>
      <c r="C250" s="1">
        <v>35859</v>
      </c>
      <c r="D250" s="1" t="str">
        <f t="shared" si="9"/>
        <v>mar</v>
      </c>
      <c r="E250" s="1" t="str">
        <f t="shared" si="10"/>
        <v>1998</v>
      </c>
      <c r="F250" s="1">
        <v>35887</v>
      </c>
      <c r="G250" s="1">
        <v>35872</v>
      </c>
      <c r="H250">
        <v>1</v>
      </c>
      <c r="I250" t="str">
        <f t="shared" si="11"/>
        <v>UPS</v>
      </c>
      <c r="J250">
        <v>1.36</v>
      </c>
      <c r="K250" t="s">
        <v>664</v>
      </c>
      <c r="L250" t="s">
        <v>269</v>
      </c>
      <c r="M250" t="s">
        <v>270</v>
      </c>
      <c r="O250" t="s">
        <v>665</v>
      </c>
      <c r="P250" t="s">
        <v>141</v>
      </c>
    </row>
    <row r="251" spans="1:16" x14ac:dyDescent="0.25">
      <c r="A251">
        <v>10303</v>
      </c>
      <c r="B251" t="s">
        <v>273</v>
      </c>
      <c r="C251" s="1">
        <v>35319</v>
      </c>
      <c r="D251" s="1" t="str">
        <f t="shared" si="9"/>
        <v>set</v>
      </c>
      <c r="E251" s="1" t="str">
        <f t="shared" si="10"/>
        <v>1996</v>
      </c>
      <c r="F251" s="1">
        <v>35347</v>
      </c>
      <c r="G251" s="1">
        <v>35326</v>
      </c>
      <c r="H251">
        <v>2</v>
      </c>
      <c r="I251" t="str">
        <f t="shared" si="11"/>
        <v>USPS</v>
      </c>
      <c r="J251">
        <v>107.83</v>
      </c>
      <c r="K251" t="s">
        <v>60</v>
      </c>
      <c r="L251" t="s">
        <v>275</v>
      </c>
      <c r="M251" t="s">
        <v>276</v>
      </c>
      <c r="O251" t="s">
        <v>277</v>
      </c>
      <c r="P251" t="s">
        <v>141</v>
      </c>
    </row>
    <row r="252" spans="1:16" x14ac:dyDescent="0.25">
      <c r="A252">
        <v>10550</v>
      </c>
      <c r="B252" t="s">
        <v>273</v>
      </c>
      <c r="C252" s="1">
        <v>35578</v>
      </c>
      <c r="D252" s="1" t="str">
        <f t="shared" si="9"/>
        <v>mai</v>
      </c>
      <c r="E252" s="1" t="str">
        <f t="shared" si="10"/>
        <v>1997</v>
      </c>
      <c r="F252" s="1">
        <v>35606</v>
      </c>
      <c r="G252" s="1">
        <v>35587</v>
      </c>
      <c r="H252">
        <v>3</v>
      </c>
      <c r="I252" t="str">
        <f t="shared" si="11"/>
        <v>DHL</v>
      </c>
      <c r="J252">
        <v>4.32</v>
      </c>
      <c r="K252" t="s">
        <v>60</v>
      </c>
      <c r="L252" t="s">
        <v>275</v>
      </c>
      <c r="M252" t="s">
        <v>276</v>
      </c>
      <c r="O252" t="s">
        <v>277</v>
      </c>
      <c r="P252" t="s">
        <v>141</v>
      </c>
    </row>
    <row r="253" spans="1:16" x14ac:dyDescent="0.25">
      <c r="A253">
        <v>10629</v>
      </c>
      <c r="B253" t="s">
        <v>273</v>
      </c>
      <c r="C253" s="1">
        <v>35654</v>
      </c>
      <c r="D253" s="1" t="str">
        <f t="shared" si="9"/>
        <v>ago</v>
      </c>
      <c r="E253" s="1" t="str">
        <f t="shared" si="10"/>
        <v>1997</v>
      </c>
      <c r="F253" s="1">
        <v>35682</v>
      </c>
      <c r="G253" s="1">
        <v>35662</v>
      </c>
      <c r="H253">
        <v>3</v>
      </c>
      <c r="I253" t="str">
        <f t="shared" si="11"/>
        <v>DHL</v>
      </c>
      <c r="J253">
        <v>85.46</v>
      </c>
      <c r="K253" t="s">
        <v>60</v>
      </c>
      <c r="L253" t="s">
        <v>275</v>
      </c>
      <c r="M253" t="s">
        <v>276</v>
      </c>
      <c r="O253" t="s">
        <v>277</v>
      </c>
      <c r="P253" t="s">
        <v>141</v>
      </c>
    </row>
    <row r="254" spans="1:16" x14ac:dyDescent="0.25">
      <c r="A254">
        <v>10872</v>
      </c>
      <c r="B254" t="s">
        <v>273</v>
      </c>
      <c r="C254" s="1">
        <v>35831</v>
      </c>
      <c r="D254" s="1" t="str">
        <f t="shared" si="9"/>
        <v>fev</v>
      </c>
      <c r="E254" s="1" t="str">
        <f t="shared" si="10"/>
        <v>1998</v>
      </c>
      <c r="F254" s="1">
        <v>35859</v>
      </c>
      <c r="G254" s="1">
        <v>35835</v>
      </c>
      <c r="H254">
        <v>2</v>
      </c>
      <c r="I254" t="str">
        <f t="shared" si="11"/>
        <v>USPS</v>
      </c>
      <c r="J254">
        <v>175.32</v>
      </c>
      <c r="K254" t="s">
        <v>60</v>
      </c>
      <c r="L254" t="s">
        <v>275</v>
      </c>
      <c r="M254" t="s">
        <v>276</v>
      </c>
      <c r="O254" t="s">
        <v>277</v>
      </c>
      <c r="P254" t="s">
        <v>141</v>
      </c>
    </row>
    <row r="255" spans="1:16" x14ac:dyDescent="0.25">
      <c r="A255">
        <v>10874</v>
      </c>
      <c r="B255" t="s">
        <v>273</v>
      </c>
      <c r="C255" s="1">
        <v>35832</v>
      </c>
      <c r="D255" s="1" t="str">
        <f t="shared" si="9"/>
        <v>fev</v>
      </c>
      <c r="E255" s="1" t="str">
        <f t="shared" si="10"/>
        <v>1998</v>
      </c>
      <c r="F255" s="1">
        <v>35860</v>
      </c>
      <c r="G255" s="1">
        <v>35837</v>
      </c>
      <c r="H255">
        <v>2</v>
      </c>
      <c r="I255" t="str">
        <f t="shared" si="11"/>
        <v>USPS</v>
      </c>
      <c r="J255">
        <v>19.579999999999998</v>
      </c>
      <c r="K255" t="s">
        <v>60</v>
      </c>
      <c r="L255" t="s">
        <v>275</v>
      </c>
      <c r="M255" t="s">
        <v>276</v>
      </c>
      <c r="O255" t="s">
        <v>277</v>
      </c>
      <c r="P255" t="s">
        <v>141</v>
      </c>
    </row>
    <row r="256" spans="1:16" x14ac:dyDescent="0.25">
      <c r="A256">
        <v>10888</v>
      </c>
      <c r="B256" t="s">
        <v>273</v>
      </c>
      <c r="C256" s="1">
        <v>35842</v>
      </c>
      <c r="D256" s="1" t="str">
        <f t="shared" si="9"/>
        <v>fev</v>
      </c>
      <c r="E256" s="1" t="str">
        <f t="shared" si="10"/>
        <v>1998</v>
      </c>
      <c r="F256" s="1">
        <v>35870</v>
      </c>
      <c r="G256" s="1">
        <v>35849</v>
      </c>
      <c r="H256">
        <v>2</v>
      </c>
      <c r="I256" t="str">
        <f t="shared" si="11"/>
        <v>USPS</v>
      </c>
      <c r="J256">
        <v>51.87</v>
      </c>
      <c r="K256" t="s">
        <v>60</v>
      </c>
      <c r="L256" t="s">
        <v>275</v>
      </c>
      <c r="M256" t="s">
        <v>276</v>
      </c>
      <c r="O256" t="s">
        <v>277</v>
      </c>
      <c r="P256" t="s">
        <v>141</v>
      </c>
    </row>
    <row r="257" spans="1:16" x14ac:dyDescent="0.25">
      <c r="A257">
        <v>10911</v>
      </c>
      <c r="B257" t="s">
        <v>273</v>
      </c>
      <c r="C257" s="1">
        <v>35852</v>
      </c>
      <c r="D257" s="1" t="str">
        <f t="shared" si="9"/>
        <v>fev</v>
      </c>
      <c r="E257" s="1" t="str">
        <f t="shared" si="10"/>
        <v>1998</v>
      </c>
      <c r="F257" s="1">
        <v>35880</v>
      </c>
      <c r="G257" s="1">
        <v>35859</v>
      </c>
      <c r="H257">
        <v>1</v>
      </c>
      <c r="I257" t="str">
        <f t="shared" si="11"/>
        <v>UPS</v>
      </c>
      <c r="J257">
        <v>38.19</v>
      </c>
      <c r="K257" t="s">
        <v>60</v>
      </c>
      <c r="L257" t="s">
        <v>275</v>
      </c>
      <c r="M257" t="s">
        <v>276</v>
      </c>
      <c r="O257" t="s">
        <v>277</v>
      </c>
      <c r="P257" t="s">
        <v>141</v>
      </c>
    </row>
    <row r="258" spans="1:16" x14ac:dyDescent="0.25">
      <c r="A258">
        <v>10948</v>
      </c>
      <c r="B258" t="s">
        <v>273</v>
      </c>
      <c r="C258" s="1">
        <v>35867</v>
      </c>
      <c r="D258" s="1" t="str">
        <f t="shared" si="9"/>
        <v>mar</v>
      </c>
      <c r="E258" s="1" t="str">
        <f t="shared" si="10"/>
        <v>1998</v>
      </c>
      <c r="F258" s="1">
        <v>35895</v>
      </c>
      <c r="G258" s="1">
        <v>35873</v>
      </c>
      <c r="H258">
        <v>3</v>
      </c>
      <c r="I258" t="str">
        <f t="shared" si="11"/>
        <v>DHL</v>
      </c>
      <c r="J258">
        <v>23.39</v>
      </c>
      <c r="K258" t="s">
        <v>60</v>
      </c>
      <c r="L258" t="s">
        <v>275</v>
      </c>
      <c r="M258" t="s">
        <v>276</v>
      </c>
      <c r="O258" t="s">
        <v>277</v>
      </c>
      <c r="P258" t="s">
        <v>141</v>
      </c>
    </row>
    <row r="259" spans="1:16" x14ac:dyDescent="0.25">
      <c r="A259">
        <v>11009</v>
      </c>
      <c r="B259" t="s">
        <v>273</v>
      </c>
      <c r="C259" s="1">
        <v>35893</v>
      </c>
      <c r="D259" s="1" t="str">
        <f t="shared" ref="D259:D322" si="12">TEXT(C259,"mmm")</f>
        <v>abr</v>
      </c>
      <c r="E259" s="1" t="str">
        <f t="shared" ref="E259:E322" si="13">TEXT(C259,"aaa")</f>
        <v>1998</v>
      </c>
      <c r="F259" s="1">
        <v>35921</v>
      </c>
      <c r="G259" s="1">
        <v>35895</v>
      </c>
      <c r="H259">
        <v>1</v>
      </c>
      <c r="I259" t="str">
        <f t="shared" ref="I259:I322" si="14">CHOOSE(H259,"UPS","USPS","DHL")</f>
        <v>UPS</v>
      </c>
      <c r="J259">
        <v>59.11</v>
      </c>
      <c r="K259" t="s">
        <v>60</v>
      </c>
      <c r="L259" t="s">
        <v>275</v>
      </c>
      <c r="M259" t="s">
        <v>276</v>
      </c>
      <c r="O259" t="s">
        <v>277</v>
      </c>
      <c r="P259" t="s">
        <v>141</v>
      </c>
    </row>
    <row r="260" spans="1:16" x14ac:dyDescent="0.25">
      <c r="A260">
        <v>11037</v>
      </c>
      <c r="B260" t="s">
        <v>273</v>
      </c>
      <c r="C260" s="1">
        <v>35906</v>
      </c>
      <c r="D260" s="1" t="str">
        <f t="shared" si="12"/>
        <v>abr</v>
      </c>
      <c r="E260" s="1" t="str">
        <f t="shared" si="13"/>
        <v>1998</v>
      </c>
      <c r="F260" s="1">
        <v>35934</v>
      </c>
      <c r="G260" s="1">
        <v>35912</v>
      </c>
      <c r="H260">
        <v>1</v>
      </c>
      <c r="I260" t="str">
        <f t="shared" si="14"/>
        <v>UPS</v>
      </c>
      <c r="J260">
        <v>3.2</v>
      </c>
      <c r="K260" t="s">
        <v>60</v>
      </c>
      <c r="L260" t="s">
        <v>275</v>
      </c>
      <c r="M260" t="s">
        <v>276</v>
      </c>
      <c r="O260" t="s">
        <v>277</v>
      </c>
      <c r="P260" t="s">
        <v>141</v>
      </c>
    </row>
    <row r="261" spans="1:16" x14ac:dyDescent="0.25">
      <c r="A261">
        <v>10423</v>
      </c>
      <c r="B261" t="s">
        <v>279</v>
      </c>
      <c r="C261" s="1">
        <v>35453</v>
      </c>
      <c r="D261" s="1" t="str">
        <f t="shared" si="12"/>
        <v>jan</v>
      </c>
      <c r="E261" s="1" t="str">
        <f t="shared" si="13"/>
        <v>1997</v>
      </c>
      <c r="F261" s="1">
        <v>35467</v>
      </c>
      <c r="G261" s="1">
        <v>35485</v>
      </c>
      <c r="H261">
        <v>3</v>
      </c>
      <c r="I261" t="str">
        <f t="shared" si="14"/>
        <v>DHL</v>
      </c>
      <c r="J261">
        <v>24.5</v>
      </c>
      <c r="K261" t="s">
        <v>59</v>
      </c>
      <c r="L261" t="s">
        <v>281</v>
      </c>
      <c r="M261" t="s">
        <v>282</v>
      </c>
      <c r="N261" t="s">
        <v>187</v>
      </c>
      <c r="O261" t="s">
        <v>283</v>
      </c>
      <c r="P261" t="s">
        <v>189</v>
      </c>
    </row>
    <row r="262" spans="1:16" x14ac:dyDescent="0.25">
      <c r="A262">
        <v>10652</v>
      </c>
      <c r="B262" t="s">
        <v>279</v>
      </c>
      <c r="C262" s="1">
        <v>35674</v>
      </c>
      <c r="D262" s="1" t="str">
        <f t="shared" si="12"/>
        <v>set</v>
      </c>
      <c r="E262" s="1" t="str">
        <f t="shared" si="13"/>
        <v>1997</v>
      </c>
      <c r="F262" s="1">
        <v>35702</v>
      </c>
      <c r="G262" s="1">
        <v>35681</v>
      </c>
      <c r="H262">
        <v>2</v>
      </c>
      <c r="I262" t="str">
        <f t="shared" si="14"/>
        <v>USPS</v>
      </c>
      <c r="J262">
        <v>7.14</v>
      </c>
      <c r="K262" t="s">
        <v>59</v>
      </c>
      <c r="L262" t="s">
        <v>281</v>
      </c>
      <c r="M262" t="s">
        <v>282</v>
      </c>
      <c r="N262" t="s">
        <v>187</v>
      </c>
      <c r="O262" t="s">
        <v>283</v>
      </c>
      <c r="P262" t="s">
        <v>189</v>
      </c>
    </row>
    <row r="263" spans="1:16" x14ac:dyDescent="0.25">
      <c r="A263">
        <v>10685</v>
      </c>
      <c r="B263" t="s">
        <v>279</v>
      </c>
      <c r="C263" s="1">
        <v>35702</v>
      </c>
      <c r="D263" s="1" t="str">
        <f t="shared" si="12"/>
        <v>set</v>
      </c>
      <c r="E263" s="1" t="str">
        <f t="shared" si="13"/>
        <v>1997</v>
      </c>
      <c r="F263" s="1">
        <v>35716</v>
      </c>
      <c r="G263" s="1">
        <v>35706</v>
      </c>
      <c r="H263">
        <v>2</v>
      </c>
      <c r="I263" t="str">
        <f t="shared" si="14"/>
        <v>USPS</v>
      </c>
      <c r="J263">
        <v>33.75</v>
      </c>
      <c r="K263" t="s">
        <v>59</v>
      </c>
      <c r="L263" t="s">
        <v>281</v>
      </c>
      <c r="M263" t="s">
        <v>282</v>
      </c>
      <c r="N263" t="s">
        <v>187</v>
      </c>
      <c r="O263" t="s">
        <v>283</v>
      </c>
      <c r="P263" t="s">
        <v>189</v>
      </c>
    </row>
    <row r="264" spans="1:16" x14ac:dyDescent="0.25">
      <c r="A264">
        <v>10709</v>
      </c>
      <c r="B264" t="s">
        <v>279</v>
      </c>
      <c r="C264" s="1">
        <v>35720</v>
      </c>
      <c r="D264" s="1" t="str">
        <f t="shared" si="12"/>
        <v>out</v>
      </c>
      <c r="E264" s="1" t="str">
        <f t="shared" si="13"/>
        <v>1997</v>
      </c>
      <c r="F264" s="1">
        <v>35748</v>
      </c>
      <c r="G264" s="1">
        <v>35754</v>
      </c>
      <c r="H264">
        <v>3</v>
      </c>
      <c r="I264" t="str">
        <f t="shared" si="14"/>
        <v>DHL</v>
      </c>
      <c r="J264">
        <v>210.8</v>
      </c>
      <c r="K264" t="s">
        <v>59</v>
      </c>
      <c r="L264" t="s">
        <v>281</v>
      </c>
      <c r="M264" t="s">
        <v>282</v>
      </c>
      <c r="N264" t="s">
        <v>187</v>
      </c>
      <c r="O264" t="s">
        <v>283</v>
      </c>
      <c r="P264" t="s">
        <v>189</v>
      </c>
    </row>
    <row r="265" spans="1:16" x14ac:dyDescent="0.25">
      <c r="A265">
        <v>10734</v>
      </c>
      <c r="B265" t="s">
        <v>279</v>
      </c>
      <c r="C265" s="1">
        <v>35741</v>
      </c>
      <c r="D265" s="1" t="str">
        <f t="shared" si="12"/>
        <v>nov</v>
      </c>
      <c r="E265" s="1" t="str">
        <f t="shared" si="13"/>
        <v>1997</v>
      </c>
      <c r="F265" s="1">
        <v>35769</v>
      </c>
      <c r="G265" s="1">
        <v>35746</v>
      </c>
      <c r="H265">
        <v>3</v>
      </c>
      <c r="I265" t="str">
        <f t="shared" si="14"/>
        <v>DHL</v>
      </c>
      <c r="J265">
        <v>1.63</v>
      </c>
      <c r="K265" t="s">
        <v>59</v>
      </c>
      <c r="L265" t="s">
        <v>281</v>
      </c>
      <c r="M265" t="s">
        <v>282</v>
      </c>
      <c r="N265" t="s">
        <v>187</v>
      </c>
      <c r="O265" t="s">
        <v>283</v>
      </c>
      <c r="P265" t="s">
        <v>189</v>
      </c>
    </row>
    <row r="266" spans="1:16" x14ac:dyDescent="0.25">
      <c r="A266">
        <v>10777</v>
      </c>
      <c r="B266" t="s">
        <v>279</v>
      </c>
      <c r="C266" s="1">
        <v>35779</v>
      </c>
      <c r="D266" s="1" t="str">
        <f t="shared" si="12"/>
        <v>dez</v>
      </c>
      <c r="E266" s="1" t="str">
        <f t="shared" si="13"/>
        <v>1997</v>
      </c>
      <c r="F266" s="1">
        <v>35793</v>
      </c>
      <c r="G266" s="1">
        <v>35816</v>
      </c>
      <c r="H266">
        <v>2</v>
      </c>
      <c r="I266" t="str">
        <f t="shared" si="14"/>
        <v>USPS</v>
      </c>
      <c r="J266">
        <v>3.01</v>
      </c>
      <c r="K266" t="s">
        <v>59</v>
      </c>
      <c r="L266" t="s">
        <v>281</v>
      </c>
      <c r="M266" t="s">
        <v>282</v>
      </c>
      <c r="N266" t="s">
        <v>187</v>
      </c>
      <c r="O266" t="s">
        <v>283</v>
      </c>
      <c r="P266" t="s">
        <v>189</v>
      </c>
    </row>
    <row r="267" spans="1:16" x14ac:dyDescent="0.25">
      <c r="A267">
        <v>10790</v>
      </c>
      <c r="B267" t="s">
        <v>279</v>
      </c>
      <c r="C267" s="1">
        <v>35786</v>
      </c>
      <c r="D267" s="1" t="str">
        <f t="shared" si="12"/>
        <v>dez</v>
      </c>
      <c r="E267" s="1" t="str">
        <f t="shared" si="13"/>
        <v>1997</v>
      </c>
      <c r="F267" s="1">
        <v>35814</v>
      </c>
      <c r="G267" s="1">
        <v>35790</v>
      </c>
      <c r="H267">
        <v>1</v>
      </c>
      <c r="I267" t="str">
        <f t="shared" si="14"/>
        <v>UPS</v>
      </c>
      <c r="J267">
        <v>28.23</v>
      </c>
      <c r="K267" t="s">
        <v>59</v>
      </c>
      <c r="L267" t="s">
        <v>281</v>
      </c>
      <c r="M267" t="s">
        <v>282</v>
      </c>
      <c r="N267" t="s">
        <v>187</v>
      </c>
      <c r="O267" t="s">
        <v>283</v>
      </c>
      <c r="P267" t="s">
        <v>189</v>
      </c>
    </row>
    <row r="268" spans="1:16" x14ac:dyDescent="0.25">
      <c r="A268">
        <v>10959</v>
      </c>
      <c r="B268" t="s">
        <v>279</v>
      </c>
      <c r="C268" s="1">
        <v>35872</v>
      </c>
      <c r="D268" s="1" t="str">
        <f t="shared" si="12"/>
        <v>mar</v>
      </c>
      <c r="E268" s="1" t="str">
        <f t="shared" si="13"/>
        <v>1998</v>
      </c>
      <c r="F268" s="1">
        <v>35914</v>
      </c>
      <c r="G268" s="1">
        <v>35877</v>
      </c>
      <c r="H268">
        <v>2</v>
      </c>
      <c r="I268" t="str">
        <f t="shared" si="14"/>
        <v>USPS</v>
      </c>
      <c r="J268">
        <v>4.9800000000000004</v>
      </c>
      <c r="K268" t="s">
        <v>59</v>
      </c>
      <c r="L268" t="s">
        <v>281</v>
      </c>
      <c r="M268" t="s">
        <v>282</v>
      </c>
      <c r="N268" t="s">
        <v>187</v>
      </c>
      <c r="O268" t="s">
        <v>283</v>
      </c>
      <c r="P268" t="s">
        <v>189</v>
      </c>
    </row>
    <row r="269" spans="1:16" x14ac:dyDescent="0.25">
      <c r="A269">
        <v>11049</v>
      </c>
      <c r="B269" t="s">
        <v>279</v>
      </c>
      <c r="C269" s="1">
        <v>35909</v>
      </c>
      <c r="D269" s="1" t="str">
        <f t="shared" si="12"/>
        <v>abr</v>
      </c>
      <c r="E269" s="1" t="str">
        <f t="shared" si="13"/>
        <v>1998</v>
      </c>
      <c r="F269" s="1">
        <v>35937</v>
      </c>
      <c r="G269" s="1">
        <v>35919</v>
      </c>
      <c r="H269">
        <v>1</v>
      </c>
      <c r="I269" t="str">
        <f t="shared" si="14"/>
        <v>UPS</v>
      </c>
      <c r="J269">
        <v>8.34</v>
      </c>
      <c r="K269" t="s">
        <v>59</v>
      </c>
      <c r="L269" t="s">
        <v>281</v>
      </c>
      <c r="M269" t="s">
        <v>282</v>
      </c>
      <c r="N269" t="s">
        <v>187</v>
      </c>
      <c r="O269" t="s">
        <v>283</v>
      </c>
      <c r="P269" t="s">
        <v>189</v>
      </c>
    </row>
    <row r="270" spans="1:16" x14ac:dyDescent="0.25">
      <c r="A270">
        <v>10528</v>
      </c>
      <c r="B270" t="s">
        <v>285</v>
      </c>
      <c r="C270" s="1">
        <v>35556</v>
      </c>
      <c r="D270" s="1" t="str">
        <f t="shared" si="12"/>
        <v>mai</v>
      </c>
      <c r="E270" s="1" t="str">
        <f t="shared" si="13"/>
        <v>1997</v>
      </c>
      <c r="F270" s="1">
        <v>35570</v>
      </c>
      <c r="G270" s="1">
        <v>35559</v>
      </c>
      <c r="H270">
        <v>2</v>
      </c>
      <c r="I270" t="str">
        <f t="shared" si="14"/>
        <v>USPS</v>
      </c>
      <c r="J270">
        <v>3.35</v>
      </c>
      <c r="K270" t="s">
        <v>58</v>
      </c>
      <c r="L270" t="s">
        <v>286</v>
      </c>
      <c r="M270" t="s">
        <v>287</v>
      </c>
      <c r="N270" t="s">
        <v>288</v>
      </c>
      <c r="O270" t="s">
        <v>289</v>
      </c>
      <c r="P270" t="s">
        <v>290</v>
      </c>
    </row>
    <row r="271" spans="1:16" x14ac:dyDescent="0.25">
      <c r="A271">
        <v>10589</v>
      </c>
      <c r="B271" t="s">
        <v>285</v>
      </c>
      <c r="C271" s="1">
        <v>35615</v>
      </c>
      <c r="D271" s="1" t="str">
        <f t="shared" si="12"/>
        <v>jul</v>
      </c>
      <c r="E271" s="1" t="str">
        <f t="shared" si="13"/>
        <v>1997</v>
      </c>
      <c r="F271" s="1">
        <v>35643</v>
      </c>
      <c r="G271" s="1">
        <v>35625</v>
      </c>
      <c r="H271">
        <v>2</v>
      </c>
      <c r="I271" t="str">
        <f t="shared" si="14"/>
        <v>USPS</v>
      </c>
      <c r="J271">
        <v>4.42</v>
      </c>
      <c r="K271" t="s">
        <v>58</v>
      </c>
      <c r="L271" t="s">
        <v>286</v>
      </c>
      <c r="M271" t="s">
        <v>287</v>
      </c>
      <c r="N271" t="s">
        <v>288</v>
      </c>
      <c r="O271" t="s">
        <v>289</v>
      </c>
      <c r="P271" t="s">
        <v>290</v>
      </c>
    </row>
    <row r="272" spans="1:16" x14ac:dyDescent="0.25">
      <c r="A272">
        <v>10616</v>
      </c>
      <c r="B272" t="s">
        <v>285</v>
      </c>
      <c r="C272" s="1">
        <v>35642</v>
      </c>
      <c r="D272" s="1" t="str">
        <f t="shared" si="12"/>
        <v>jul</v>
      </c>
      <c r="E272" s="1" t="str">
        <f t="shared" si="13"/>
        <v>1997</v>
      </c>
      <c r="F272" s="1">
        <v>35670</v>
      </c>
      <c r="G272" s="1">
        <v>35647</v>
      </c>
      <c r="H272">
        <v>2</v>
      </c>
      <c r="I272" t="str">
        <f t="shared" si="14"/>
        <v>USPS</v>
      </c>
      <c r="J272">
        <v>116.53</v>
      </c>
      <c r="K272" t="s">
        <v>58</v>
      </c>
      <c r="L272" t="s">
        <v>286</v>
      </c>
      <c r="M272" t="s">
        <v>287</v>
      </c>
      <c r="N272" t="s">
        <v>288</v>
      </c>
      <c r="O272" t="s">
        <v>289</v>
      </c>
      <c r="P272" t="s">
        <v>290</v>
      </c>
    </row>
    <row r="273" spans="1:16" x14ac:dyDescent="0.25">
      <c r="A273">
        <v>10617</v>
      </c>
      <c r="B273" t="s">
        <v>285</v>
      </c>
      <c r="C273" s="1">
        <v>35642</v>
      </c>
      <c r="D273" s="1" t="str">
        <f t="shared" si="12"/>
        <v>jul</v>
      </c>
      <c r="E273" s="1" t="str">
        <f t="shared" si="13"/>
        <v>1997</v>
      </c>
      <c r="F273" s="1">
        <v>35670</v>
      </c>
      <c r="G273" s="1">
        <v>35646</v>
      </c>
      <c r="H273">
        <v>2</v>
      </c>
      <c r="I273" t="str">
        <f t="shared" si="14"/>
        <v>USPS</v>
      </c>
      <c r="J273">
        <v>18.53</v>
      </c>
      <c r="K273" t="s">
        <v>58</v>
      </c>
      <c r="L273" t="s">
        <v>286</v>
      </c>
      <c r="M273" t="s">
        <v>287</v>
      </c>
      <c r="N273" t="s">
        <v>288</v>
      </c>
      <c r="O273" t="s">
        <v>289</v>
      </c>
      <c r="P273" t="s">
        <v>290</v>
      </c>
    </row>
    <row r="274" spans="1:16" x14ac:dyDescent="0.25">
      <c r="A274">
        <v>10656</v>
      </c>
      <c r="B274" t="s">
        <v>285</v>
      </c>
      <c r="C274" s="1">
        <v>35677</v>
      </c>
      <c r="D274" s="1" t="str">
        <f t="shared" si="12"/>
        <v>set</v>
      </c>
      <c r="E274" s="1" t="str">
        <f t="shared" si="13"/>
        <v>1997</v>
      </c>
      <c r="F274" s="1">
        <v>35705</v>
      </c>
      <c r="G274" s="1">
        <v>35683</v>
      </c>
      <c r="H274">
        <v>1</v>
      </c>
      <c r="I274" t="str">
        <f t="shared" si="14"/>
        <v>UPS</v>
      </c>
      <c r="J274">
        <v>57.15</v>
      </c>
      <c r="K274" t="s">
        <v>58</v>
      </c>
      <c r="L274" t="s">
        <v>286</v>
      </c>
      <c r="M274" t="s">
        <v>287</v>
      </c>
      <c r="N274" t="s">
        <v>288</v>
      </c>
      <c r="O274" t="s">
        <v>289</v>
      </c>
      <c r="P274" t="s">
        <v>290</v>
      </c>
    </row>
    <row r="275" spans="1:16" x14ac:dyDescent="0.25">
      <c r="A275">
        <v>10681</v>
      </c>
      <c r="B275" t="s">
        <v>285</v>
      </c>
      <c r="C275" s="1">
        <v>35698</v>
      </c>
      <c r="D275" s="1" t="str">
        <f t="shared" si="12"/>
        <v>set</v>
      </c>
      <c r="E275" s="1" t="str">
        <f t="shared" si="13"/>
        <v>1997</v>
      </c>
      <c r="F275" s="1">
        <v>35726</v>
      </c>
      <c r="G275" s="1">
        <v>35703</v>
      </c>
      <c r="H275">
        <v>3</v>
      </c>
      <c r="I275" t="str">
        <f t="shared" si="14"/>
        <v>DHL</v>
      </c>
      <c r="J275">
        <v>76.13</v>
      </c>
      <c r="K275" t="s">
        <v>58</v>
      </c>
      <c r="L275" t="s">
        <v>286</v>
      </c>
      <c r="M275" t="s">
        <v>287</v>
      </c>
      <c r="N275" t="s">
        <v>288</v>
      </c>
      <c r="O275" t="s">
        <v>289</v>
      </c>
      <c r="P275" t="s">
        <v>290</v>
      </c>
    </row>
    <row r="276" spans="1:16" x14ac:dyDescent="0.25">
      <c r="A276">
        <v>10816</v>
      </c>
      <c r="B276" t="s">
        <v>285</v>
      </c>
      <c r="C276" s="1">
        <v>35801</v>
      </c>
      <c r="D276" s="1" t="str">
        <f t="shared" si="12"/>
        <v>jan</v>
      </c>
      <c r="E276" s="1" t="str">
        <f t="shared" si="13"/>
        <v>1998</v>
      </c>
      <c r="F276" s="1">
        <v>35829</v>
      </c>
      <c r="G276" s="1">
        <v>35830</v>
      </c>
      <c r="H276">
        <v>2</v>
      </c>
      <c r="I276" t="str">
        <f t="shared" si="14"/>
        <v>USPS</v>
      </c>
      <c r="J276">
        <v>719.78</v>
      </c>
      <c r="K276" t="s">
        <v>58</v>
      </c>
      <c r="L276" t="s">
        <v>286</v>
      </c>
      <c r="M276" t="s">
        <v>287</v>
      </c>
      <c r="N276" t="s">
        <v>288</v>
      </c>
      <c r="O276" t="s">
        <v>289</v>
      </c>
      <c r="P276" t="s">
        <v>290</v>
      </c>
    </row>
    <row r="277" spans="1:16" x14ac:dyDescent="0.25">
      <c r="A277">
        <v>10936</v>
      </c>
      <c r="B277" t="s">
        <v>285</v>
      </c>
      <c r="C277" s="1">
        <v>35863</v>
      </c>
      <c r="D277" s="1" t="str">
        <f t="shared" si="12"/>
        <v>mar</v>
      </c>
      <c r="E277" s="1" t="str">
        <f t="shared" si="13"/>
        <v>1998</v>
      </c>
      <c r="F277" s="1">
        <v>35891</v>
      </c>
      <c r="G277" s="1">
        <v>35872</v>
      </c>
      <c r="H277">
        <v>2</v>
      </c>
      <c r="I277" t="str">
        <f t="shared" si="14"/>
        <v>USPS</v>
      </c>
      <c r="J277">
        <v>33.68</v>
      </c>
      <c r="K277" t="s">
        <v>58</v>
      </c>
      <c r="L277" t="s">
        <v>286</v>
      </c>
      <c r="M277" t="s">
        <v>287</v>
      </c>
      <c r="N277" t="s">
        <v>288</v>
      </c>
      <c r="O277" t="s">
        <v>289</v>
      </c>
      <c r="P277" t="s">
        <v>290</v>
      </c>
    </row>
    <row r="278" spans="1:16" x14ac:dyDescent="0.25">
      <c r="A278">
        <v>11006</v>
      </c>
      <c r="B278" t="s">
        <v>285</v>
      </c>
      <c r="C278" s="1">
        <v>35892</v>
      </c>
      <c r="D278" s="1" t="str">
        <f t="shared" si="12"/>
        <v>abr</v>
      </c>
      <c r="E278" s="1" t="str">
        <f t="shared" si="13"/>
        <v>1998</v>
      </c>
      <c r="F278" s="1">
        <v>35920</v>
      </c>
      <c r="G278" s="1">
        <v>35900</v>
      </c>
      <c r="H278">
        <v>2</v>
      </c>
      <c r="I278" t="str">
        <f t="shared" si="14"/>
        <v>USPS</v>
      </c>
      <c r="J278">
        <v>25.19</v>
      </c>
      <c r="K278" t="s">
        <v>58</v>
      </c>
      <c r="L278" t="s">
        <v>286</v>
      </c>
      <c r="M278" t="s">
        <v>287</v>
      </c>
      <c r="N278" t="s">
        <v>288</v>
      </c>
      <c r="O278" t="s">
        <v>289</v>
      </c>
      <c r="P278" t="s">
        <v>290</v>
      </c>
    </row>
    <row r="279" spans="1:16" x14ac:dyDescent="0.25">
      <c r="A279">
        <v>11040</v>
      </c>
      <c r="B279" t="s">
        <v>285</v>
      </c>
      <c r="C279" s="1">
        <v>35907</v>
      </c>
      <c r="D279" s="1" t="str">
        <f t="shared" si="12"/>
        <v>abr</v>
      </c>
      <c r="E279" s="1" t="str">
        <f t="shared" si="13"/>
        <v>1998</v>
      </c>
      <c r="F279" s="1">
        <v>35935</v>
      </c>
      <c r="G279" s="1"/>
      <c r="H279">
        <v>3</v>
      </c>
      <c r="I279" t="str">
        <f t="shared" si="14"/>
        <v>DHL</v>
      </c>
      <c r="J279">
        <v>18.84</v>
      </c>
      <c r="K279" t="s">
        <v>58</v>
      </c>
      <c r="L279" t="s">
        <v>286</v>
      </c>
      <c r="M279" t="s">
        <v>287</v>
      </c>
      <c r="N279" t="s">
        <v>288</v>
      </c>
      <c r="O279" t="s">
        <v>289</v>
      </c>
      <c r="P279" t="s">
        <v>290</v>
      </c>
    </row>
    <row r="280" spans="1:16" x14ac:dyDescent="0.25">
      <c r="A280">
        <v>11061</v>
      </c>
      <c r="B280" t="s">
        <v>285</v>
      </c>
      <c r="C280" s="1">
        <v>35915</v>
      </c>
      <c r="D280" s="1" t="str">
        <f t="shared" si="12"/>
        <v>abr</v>
      </c>
      <c r="E280" s="1" t="str">
        <f t="shared" si="13"/>
        <v>1998</v>
      </c>
      <c r="F280" s="1">
        <v>35957</v>
      </c>
      <c r="G280" s="1"/>
      <c r="H280">
        <v>3</v>
      </c>
      <c r="I280" t="str">
        <f t="shared" si="14"/>
        <v>DHL</v>
      </c>
      <c r="J280">
        <v>14.01</v>
      </c>
      <c r="K280" t="s">
        <v>58</v>
      </c>
      <c r="L280" t="s">
        <v>286</v>
      </c>
      <c r="M280" t="s">
        <v>287</v>
      </c>
      <c r="N280" t="s">
        <v>288</v>
      </c>
      <c r="O280" t="s">
        <v>289</v>
      </c>
      <c r="P280" t="s">
        <v>290</v>
      </c>
    </row>
    <row r="281" spans="1:16" x14ac:dyDescent="0.25">
      <c r="A281">
        <v>10268</v>
      </c>
      <c r="B281" t="s">
        <v>292</v>
      </c>
      <c r="C281" s="1">
        <v>35276</v>
      </c>
      <c r="D281" s="1" t="str">
        <f t="shared" si="12"/>
        <v>jul</v>
      </c>
      <c r="E281" s="1" t="str">
        <f t="shared" si="13"/>
        <v>1996</v>
      </c>
      <c r="F281" s="1">
        <v>35304</v>
      </c>
      <c r="G281" s="1">
        <v>35279</v>
      </c>
      <c r="H281">
        <v>3</v>
      </c>
      <c r="I281" t="str">
        <f t="shared" si="14"/>
        <v>DHL</v>
      </c>
      <c r="J281">
        <v>66.290000000000006</v>
      </c>
      <c r="K281" t="s">
        <v>57</v>
      </c>
      <c r="L281" t="s">
        <v>294</v>
      </c>
      <c r="M281" t="s">
        <v>295</v>
      </c>
      <c r="N281" t="s">
        <v>296</v>
      </c>
      <c r="O281" t="s">
        <v>297</v>
      </c>
      <c r="P281" t="s">
        <v>298</v>
      </c>
    </row>
    <row r="282" spans="1:16" x14ac:dyDescent="0.25">
      <c r="A282">
        <v>10785</v>
      </c>
      <c r="B282" t="s">
        <v>292</v>
      </c>
      <c r="C282" s="1">
        <v>35782</v>
      </c>
      <c r="D282" s="1" t="str">
        <f t="shared" si="12"/>
        <v>dez</v>
      </c>
      <c r="E282" s="1" t="str">
        <f t="shared" si="13"/>
        <v>1997</v>
      </c>
      <c r="F282" s="1">
        <v>35810</v>
      </c>
      <c r="G282" s="1">
        <v>35788</v>
      </c>
      <c r="H282">
        <v>3</v>
      </c>
      <c r="I282" t="str">
        <f t="shared" si="14"/>
        <v>DHL</v>
      </c>
      <c r="J282">
        <v>1.51</v>
      </c>
      <c r="K282" t="s">
        <v>57</v>
      </c>
      <c r="L282" t="s">
        <v>294</v>
      </c>
      <c r="M282" t="s">
        <v>295</v>
      </c>
      <c r="N282" t="s">
        <v>296</v>
      </c>
      <c r="O282" t="s">
        <v>297</v>
      </c>
      <c r="P282" t="s">
        <v>298</v>
      </c>
    </row>
    <row r="283" spans="1:16" x14ac:dyDescent="0.25">
      <c r="A283">
        <v>10250</v>
      </c>
      <c r="B283" t="s">
        <v>300</v>
      </c>
      <c r="C283" s="1">
        <v>35254</v>
      </c>
      <c r="D283" s="1" t="str">
        <f t="shared" si="12"/>
        <v>jul</v>
      </c>
      <c r="E283" s="1" t="str">
        <f t="shared" si="13"/>
        <v>1996</v>
      </c>
      <c r="F283" s="1">
        <v>35282</v>
      </c>
      <c r="G283" s="1">
        <v>35258</v>
      </c>
      <c r="H283">
        <v>2</v>
      </c>
      <c r="I283" t="str">
        <f t="shared" si="14"/>
        <v>USPS</v>
      </c>
      <c r="J283">
        <v>65.83</v>
      </c>
      <c r="K283" t="s">
        <v>56</v>
      </c>
      <c r="L283" t="s">
        <v>302</v>
      </c>
      <c r="M283" t="s">
        <v>303</v>
      </c>
      <c r="N283" t="s">
        <v>304</v>
      </c>
      <c r="O283" t="s">
        <v>305</v>
      </c>
      <c r="P283" t="s">
        <v>189</v>
      </c>
    </row>
    <row r="284" spans="1:16" x14ac:dyDescent="0.25">
      <c r="A284">
        <v>10253</v>
      </c>
      <c r="B284" t="s">
        <v>300</v>
      </c>
      <c r="C284" s="1">
        <v>35256</v>
      </c>
      <c r="D284" s="1" t="str">
        <f t="shared" si="12"/>
        <v>jul</v>
      </c>
      <c r="E284" s="1" t="str">
        <f t="shared" si="13"/>
        <v>1996</v>
      </c>
      <c r="F284" s="1">
        <v>35270</v>
      </c>
      <c r="G284" s="1">
        <v>35262</v>
      </c>
      <c r="H284">
        <v>2</v>
      </c>
      <c r="I284" t="str">
        <f t="shared" si="14"/>
        <v>USPS</v>
      </c>
      <c r="J284">
        <v>58.17</v>
      </c>
      <c r="K284" t="s">
        <v>56</v>
      </c>
      <c r="L284" t="s">
        <v>302</v>
      </c>
      <c r="M284" t="s">
        <v>303</v>
      </c>
      <c r="N284" t="s">
        <v>304</v>
      </c>
      <c r="O284" t="s">
        <v>305</v>
      </c>
      <c r="P284" t="s">
        <v>189</v>
      </c>
    </row>
    <row r="285" spans="1:16" x14ac:dyDescent="0.25">
      <c r="A285">
        <v>10541</v>
      </c>
      <c r="B285" t="s">
        <v>300</v>
      </c>
      <c r="C285" s="1">
        <v>35569</v>
      </c>
      <c r="D285" s="1" t="str">
        <f t="shared" si="12"/>
        <v>mai</v>
      </c>
      <c r="E285" s="1" t="str">
        <f t="shared" si="13"/>
        <v>1997</v>
      </c>
      <c r="F285" s="1">
        <v>35597</v>
      </c>
      <c r="G285" s="1">
        <v>35579</v>
      </c>
      <c r="H285">
        <v>1</v>
      </c>
      <c r="I285" t="str">
        <f t="shared" si="14"/>
        <v>UPS</v>
      </c>
      <c r="J285">
        <v>68.650000000000006</v>
      </c>
      <c r="K285" t="s">
        <v>56</v>
      </c>
      <c r="L285" t="s">
        <v>302</v>
      </c>
      <c r="M285" t="s">
        <v>303</v>
      </c>
      <c r="N285" t="s">
        <v>304</v>
      </c>
      <c r="O285" t="s">
        <v>305</v>
      </c>
      <c r="P285" t="s">
        <v>189</v>
      </c>
    </row>
    <row r="286" spans="1:16" x14ac:dyDescent="0.25">
      <c r="A286">
        <v>10645</v>
      </c>
      <c r="B286" t="s">
        <v>300</v>
      </c>
      <c r="C286" s="1">
        <v>35668</v>
      </c>
      <c r="D286" s="1" t="str">
        <f t="shared" si="12"/>
        <v>ago</v>
      </c>
      <c r="E286" s="1" t="str">
        <f t="shared" si="13"/>
        <v>1997</v>
      </c>
      <c r="F286" s="1">
        <v>35696</v>
      </c>
      <c r="G286" s="1">
        <v>35675</v>
      </c>
      <c r="H286">
        <v>1</v>
      </c>
      <c r="I286" t="str">
        <f t="shared" si="14"/>
        <v>UPS</v>
      </c>
      <c r="J286">
        <v>12.41</v>
      </c>
      <c r="K286" t="s">
        <v>56</v>
      </c>
      <c r="L286" t="s">
        <v>302</v>
      </c>
      <c r="M286" t="s">
        <v>303</v>
      </c>
      <c r="N286" t="s">
        <v>304</v>
      </c>
      <c r="O286" t="s">
        <v>305</v>
      </c>
      <c r="P286" t="s">
        <v>189</v>
      </c>
    </row>
    <row r="287" spans="1:16" x14ac:dyDescent="0.25">
      <c r="A287">
        <v>10690</v>
      </c>
      <c r="B287" t="s">
        <v>300</v>
      </c>
      <c r="C287" s="1">
        <v>35705</v>
      </c>
      <c r="D287" s="1" t="str">
        <f t="shared" si="12"/>
        <v>out</v>
      </c>
      <c r="E287" s="1" t="str">
        <f t="shared" si="13"/>
        <v>1997</v>
      </c>
      <c r="F287" s="1">
        <v>35733</v>
      </c>
      <c r="G287" s="1">
        <v>35706</v>
      </c>
      <c r="H287">
        <v>1</v>
      </c>
      <c r="I287" t="str">
        <f t="shared" si="14"/>
        <v>UPS</v>
      </c>
      <c r="J287">
        <v>15.8</v>
      </c>
      <c r="K287" t="s">
        <v>56</v>
      </c>
      <c r="L287" t="s">
        <v>302</v>
      </c>
      <c r="M287" t="s">
        <v>303</v>
      </c>
      <c r="N287" t="s">
        <v>304</v>
      </c>
      <c r="O287" t="s">
        <v>305</v>
      </c>
      <c r="P287" t="s">
        <v>189</v>
      </c>
    </row>
    <row r="288" spans="1:16" x14ac:dyDescent="0.25">
      <c r="A288">
        <v>10770</v>
      </c>
      <c r="B288" t="s">
        <v>300</v>
      </c>
      <c r="C288" s="1">
        <v>35773</v>
      </c>
      <c r="D288" s="1" t="str">
        <f t="shared" si="12"/>
        <v>dez</v>
      </c>
      <c r="E288" s="1" t="str">
        <f t="shared" si="13"/>
        <v>1997</v>
      </c>
      <c r="F288" s="1">
        <v>35801</v>
      </c>
      <c r="G288" s="1">
        <v>35781</v>
      </c>
      <c r="H288">
        <v>3</v>
      </c>
      <c r="I288" t="str">
        <f t="shared" si="14"/>
        <v>DHL</v>
      </c>
      <c r="J288">
        <v>5.32</v>
      </c>
      <c r="K288" t="s">
        <v>56</v>
      </c>
      <c r="L288" t="s">
        <v>302</v>
      </c>
      <c r="M288" t="s">
        <v>303</v>
      </c>
      <c r="N288" t="s">
        <v>304</v>
      </c>
      <c r="O288" t="s">
        <v>305</v>
      </c>
      <c r="P288" t="s">
        <v>189</v>
      </c>
    </row>
    <row r="289" spans="1:16" x14ac:dyDescent="0.25">
      <c r="A289">
        <v>10783</v>
      </c>
      <c r="B289" t="s">
        <v>300</v>
      </c>
      <c r="C289" s="1">
        <v>35782</v>
      </c>
      <c r="D289" s="1" t="str">
        <f t="shared" si="12"/>
        <v>dez</v>
      </c>
      <c r="E289" s="1" t="str">
        <f t="shared" si="13"/>
        <v>1997</v>
      </c>
      <c r="F289" s="1">
        <v>35810</v>
      </c>
      <c r="G289" s="1">
        <v>35783</v>
      </c>
      <c r="H289">
        <v>2</v>
      </c>
      <c r="I289" t="str">
        <f t="shared" si="14"/>
        <v>USPS</v>
      </c>
      <c r="J289">
        <v>124.98</v>
      </c>
      <c r="K289" t="s">
        <v>56</v>
      </c>
      <c r="L289" t="s">
        <v>302</v>
      </c>
      <c r="M289" t="s">
        <v>303</v>
      </c>
      <c r="N289" t="s">
        <v>304</v>
      </c>
      <c r="O289" t="s">
        <v>305</v>
      </c>
      <c r="P289" t="s">
        <v>189</v>
      </c>
    </row>
    <row r="290" spans="1:16" x14ac:dyDescent="0.25">
      <c r="A290">
        <v>10886</v>
      </c>
      <c r="B290" t="s">
        <v>300</v>
      </c>
      <c r="C290" s="1">
        <v>35839</v>
      </c>
      <c r="D290" s="1" t="str">
        <f t="shared" si="12"/>
        <v>fev</v>
      </c>
      <c r="E290" s="1" t="str">
        <f t="shared" si="13"/>
        <v>1998</v>
      </c>
      <c r="F290" s="1">
        <v>35867</v>
      </c>
      <c r="G290" s="1">
        <v>35856</v>
      </c>
      <c r="H290">
        <v>1</v>
      </c>
      <c r="I290" t="str">
        <f t="shared" si="14"/>
        <v>UPS</v>
      </c>
      <c r="J290">
        <v>4.99</v>
      </c>
      <c r="K290" t="s">
        <v>56</v>
      </c>
      <c r="L290" t="s">
        <v>302</v>
      </c>
      <c r="M290" t="s">
        <v>303</v>
      </c>
      <c r="N290" t="s">
        <v>304</v>
      </c>
      <c r="O290" t="s">
        <v>305</v>
      </c>
      <c r="P290" t="s">
        <v>189</v>
      </c>
    </row>
    <row r="291" spans="1:16" x14ac:dyDescent="0.25">
      <c r="A291">
        <v>10903</v>
      </c>
      <c r="B291" t="s">
        <v>300</v>
      </c>
      <c r="C291" s="1">
        <v>35850</v>
      </c>
      <c r="D291" s="1" t="str">
        <f t="shared" si="12"/>
        <v>fev</v>
      </c>
      <c r="E291" s="1" t="str">
        <f t="shared" si="13"/>
        <v>1998</v>
      </c>
      <c r="F291" s="1">
        <v>35878</v>
      </c>
      <c r="G291" s="1">
        <v>35858</v>
      </c>
      <c r="H291">
        <v>3</v>
      </c>
      <c r="I291" t="str">
        <f t="shared" si="14"/>
        <v>DHL</v>
      </c>
      <c r="J291">
        <v>36.71</v>
      </c>
      <c r="K291" t="s">
        <v>56</v>
      </c>
      <c r="L291" t="s">
        <v>302</v>
      </c>
      <c r="M291" t="s">
        <v>303</v>
      </c>
      <c r="N291" t="s">
        <v>304</v>
      </c>
      <c r="O291" t="s">
        <v>305</v>
      </c>
      <c r="P291" t="s">
        <v>189</v>
      </c>
    </row>
    <row r="292" spans="1:16" x14ac:dyDescent="0.25">
      <c r="A292">
        <v>10922</v>
      </c>
      <c r="B292" t="s">
        <v>300</v>
      </c>
      <c r="C292" s="1">
        <v>35857</v>
      </c>
      <c r="D292" s="1" t="str">
        <f t="shared" si="12"/>
        <v>mar</v>
      </c>
      <c r="E292" s="1" t="str">
        <f t="shared" si="13"/>
        <v>1998</v>
      </c>
      <c r="F292" s="1">
        <v>35885</v>
      </c>
      <c r="G292" s="1">
        <v>35859</v>
      </c>
      <c r="H292">
        <v>3</v>
      </c>
      <c r="I292" t="str">
        <f t="shared" si="14"/>
        <v>DHL</v>
      </c>
      <c r="J292">
        <v>62.74</v>
      </c>
      <c r="K292" t="s">
        <v>56</v>
      </c>
      <c r="L292" t="s">
        <v>302</v>
      </c>
      <c r="M292" t="s">
        <v>303</v>
      </c>
      <c r="N292" t="s">
        <v>304</v>
      </c>
      <c r="O292" t="s">
        <v>305</v>
      </c>
      <c r="P292" t="s">
        <v>189</v>
      </c>
    </row>
    <row r="293" spans="1:16" x14ac:dyDescent="0.25">
      <c r="A293">
        <v>10925</v>
      </c>
      <c r="B293" t="s">
        <v>300</v>
      </c>
      <c r="C293" s="1">
        <v>35858</v>
      </c>
      <c r="D293" s="1" t="str">
        <f t="shared" si="12"/>
        <v>mar</v>
      </c>
      <c r="E293" s="1" t="str">
        <f t="shared" si="13"/>
        <v>1998</v>
      </c>
      <c r="F293" s="1">
        <v>35886</v>
      </c>
      <c r="G293" s="1">
        <v>35867</v>
      </c>
      <c r="H293">
        <v>1</v>
      </c>
      <c r="I293" t="str">
        <f t="shared" si="14"/>
        <v>UPS</v>
      </c>
      <c r="J293">
        <v>2.27</v>
      </c>
      <c r="K293" t="s">
        <v>56</v>
      </c>
      <c r="L293" t="s">
        <v>302</v>
      </c>
      <c r="M293" t="s">
        <v>303</v>
      </c>
      <c r="N293" t="s">
        <v>304</v>
      </c>
      <c r="O293" t="s">
        <v>305</v>
      </c>
      <c r="P293" t="s">
        <v>189</v>
      </c>
    </row>
    <row r="294" spans="1:16" x14ac:dyDescent="0.25">
      <c r="A294">
        <v>10981</v>
      </c>
      <c r="B294" t="s">
        <v>300</v>
      </c>
      <c r="C294" s="1">
        <v>35881</v>
      </c>
      <c r="D294" s="1" t="str">
        <f t="shared" si="12"/>
        <v>mar</v>
      </c>
      <c r="E294" s="1" t="str">
        <f t="shared" si="13"/>
        <v>1998</v>
      </c>
      <c r="F294" s="1">
        <v>35909</v>
      </c>
      <c r="G294" s="1">
        <v>35887</v>
      </c>
      <c r="H294">
        <v>2</v>
      </c>
      <c r="I294" t="str">
        <f t="shared" si="14"/>
        <v>USPS</v>
      </c>
      <c r="J294">
        <v>193.37</v>
      </c>
      <c r="K294" t="s">
        <v>56</v>
      </c>
      <c r="L294" t="s">
        <v>302</v>
      </c>
      <c r="M294" t="s">
        <v>303</v>
      </c>
      <c r="N294" t="s">
        <v>304</v>
      </c>
      <c r="O294" t="s">
        <v>305</v>
      </c>
      <c r="P294" t="s">
        <v>189</v>
      </c>
    </row>
    <row r="295" spans="1:16" x14ac:dyDescent="0.25">
      <c r="A295">
        <v>11022</v>
      </c>
      <c r="B295" t="s">
        <v>300</v>
      </c>
      <c r="C295" s="1">
        <v>35899</v>
      </c>
      <c r="D295" s="1" t="str">
        <f t="shared" si="12"/>
        <v>abr</v>
      </c>
      <c r="E295" s="1" t="str">
        <f t="shared" si="13"/>
        <v>1998</v>
      </c>
      <c r="F295" s="1">
        <v>35927</v>
      </c>
      <c r="G295" s="1">
        <v>35919</v>
      </c>
      <c r="H295">
        <v>2</v>
      </c>
      <c r="I295" t="str">
        <f t="shared" si="14"/>
        <v>USPS</v>
      </c>
      <c r="J295">
        <v>6.27</v>
      </c>
      <c r="K295" t="s">
        <v>56</v>
      </c>
      <c r="L295" t="s">
        <v>302</v>
      </c>
      <c r="M295" t="s">
        <v>303</v>
      </c>
      <c r="N295" t="s">
        <v>304</v>
      </c>
      <c r="O295" t="s">
        <v>305</v>
      </c>
      <c r="P295" t="s">
        <v>189</v>
      </c>
    </row>
    <row r="296" spans="1:16" x14ac:dyDescent="0.25">
      <c r="A296">
        <v>11052</v>
      </c>
      <c r="B296" t="s">
        <v>300</v>
      </c>
      <c r="C296" s="1">
        <v>35912</v>
      </c>
      <c r="D296" s="1" t="str">
        <f t="shared" si="12"/>
        <v>abr</v>
      </c>
      <c r="E296" s="1" t="str">
        <f t="shared" si="13"/>
        <v>1998</v>
      </c>
      <c r="F296" s="1">
        <v>35940</v>
      </c>
      <c r="G296" s="1">
        <v>35916</v>
      </c>
      <c r="H296">
        <v>1</v>
      </c>
      <c r="I296" t="str">
        <f t="shared" si="14"/>
        <v>UPS</v>
      </c>
      <c r="J296">
        <v>67.260000000000005</v>
      </c>
      <c r="K296" t="s">
        <v>56</v>
      </c>
      <c r="L296" t="s">
        <v>302</v>
      </c>
      <c r="M296" t="s">
        <v>303</v>
      </c>
      <c r="N296" t="s">
        <v>304</v>
      </c>
      <c r="O296" t="s">
        <v>305</v>
      </c>
      <c r="P296" t="s">
        <v>189</v>
      </c>
    </row>
    <row r="297" spans="1:16" x14ac:dyDescent="0.25">
      <c r="A297">
        <v>10257</v>
      </c>
      <c r="B297" t="s">
        <v>307</v>
      </c>
      <c r="C297" s="1">
        <v>35262</v>
      </c>
      <c r="D297" s="1" t="str">
        <f t="shared" si="12"/>
        <v>jul</v>
      </c>
      <c r="E297" s="1" t="str">
        <f t="shared" si="13"/>
        <v>1996</v>
      </c>
      <c r="F297" s="1">
        <v>35290</v>
      </c>
      <c r="G297" s="1">
        <v>35268</v>
      </c>
      <c r="H297">
        <v>3</v>
      </c>
      <c r="I297" t="str">
        <f t="shared" si="14"/>
        <v>DHL</v>
      </c>
      <c r="J297">
        <v>81.91</v>
      </c>
      <c r="K297" t="s">
        <v>55</v>
      </c>
      <c r="L297" t="s">
        <v>309</v>
      </c>
      <c r="M297" t="s">
        <v>310</v>
      </c>
      <c r="N297" t="s">
        <v>311</v>
      </c>
      <c r="O297" t="s">
        <v>312</v>
      </c>
      <c r="P297" t="s">
        <v>298</v>
      </c>
    </row>
    <row r="298" spans="1:16" x14ac:dyDescent="0.25">
      <c r="A298">
        <v>10395</v>
      </c>
      <c r="B298" t="s">
        <v>307</v>
      </c>
      <c r="C298" s="1">
        <v>35425</v>
      </c>
      <c r="D298" s="1" t="str">
        <f t="shared" si="12"/>
        <v>dez</v>
      </c>
      <c r="E298" s="1" t="str">
        <f t="shared" si="13"/>
        <v>1996</v>
      </c>
      <c r="F298" s="1">
        <v>35453</v>
      </c>
      <c r="G298" s="1">
        <v>35433</v>
      </c>
      <c r="H298">
        <v>1</v>
      </c>
      <c r="I298" t="str">
        <f t="shared" si="14"/>
        <v>UPS</v>
      </c>
      <c r="J298">
        <v>184.41</v>
      </c>
      <c r="K298" t="s">
        <v>55</v>
      </c>
      <c r="L298" t="s">
        <v>309</v>
      </c>
      <c r="M298" t="s">
        <v>310</v>
      </c>
      <c r="N298" t="s">
        <v>311</v>
      </c>
      <c r="O298" t="s">
        <v>312</v>
      </c>
      <c r="P298" t="s">
        <v>298</v>
      </c>
    </row>
    <row r="299" spans="1:16" x14ac:dyDescent="0.25">
      <c r="A299">
        <v>10476</v>
      </c>
      <c r="B299" t="s">
        <v>307</v>
      </c>
      <c r="C299" s="1">
        <v>35506</v>
      </c>
      <c r="D299" s="1" t="str">
        <f t="shared" si="12"/>
        <v>mar</v>
      </c>
      <c r="E299" s="1" t="str">
        <f t="shared" si="13"/>
        <v>1997</v>
      </c>
      <c r="F299" s="1">
        <v>35534</v>
      </c>
      <c r="G299" s="1">
        <v>35513</v>
      </c>
      <c r="H299">
        <v>3</v>
      </c>
      <c r="I299" t="str">
        <f t="shared" si="14"/>
        <v>DHL</v>
      </c>
      <c r="J299">
        <v>4.41</v>
      </c>
      <c r="K299" t="s">
        <v>55</v>
      </c>
      <c r="L299" t="s">
        <v>309</v>
      </c>
      <c r="M299" t="s">
        <v>310</v>
      </c>
      <c r="N299" t="s">
        <v>311</v>
      </c>
      <c r="O299" t="s">
        <v>312</v>
      </c>
      <c r="P299" t="s">
        <v>298</v>
      </c>
    </row>
    <row r="300" spans="1:16" x14ac:dyDescent="0.25">
      <c r="A300">
        <v>10486</v>
      </c>
      <c r="B300" t="s">
        <v>307</v>
      </c>
      <c r="C300" s="1">
        <v>35515</v>
      </c>
      <c r="D300" s="1" t="str">
        <f t="shared" si="12"/>
        <v>mar</v>
      </c>
      <c r="E300" s="1" t="str">
        <f t="shared" si="13"/>
        <v>1997</v>
      </c>
      <c r="F300" s="1">
        <v>35543</v>
      </c>
      <c r="G300" s="1">
        <v>35522</v>
      </c>
      <c r="H300">
        <v>2</v>
      </c>
      <c r="I300" t="str">
        <f t="shared" si="14"/>
        <v>USPS</v>
      </c>
      <c r="J300">
        <v>30.53</v>
      </c>
      <c r="K300" t="s">
        <v>55</v>
      </c>
      <c r="L300" t="s">
        <v>309</v>
      </c>
      <c r="M300" t="s">
        <v>310</v>
      </c>
      <c r="N300" t="s">
        <v>311</v>
      </c>
      <c r="O300" t="s">
        <v>312</v>
      </c>
      <c r="P300" t="s">
        <v>298</v>
      </c>
    </row>
    <row r="301" spans="1:16" x14ac:dyDescent="0.25">
      <c r="A301">
        <v>10490</v>
      </c>
      <c r="B301" t="s">
        <v>307</v>
      </c>
      <c r="C301" s="1">
        <v>35520</v>
      </c>
      <c r="D301" s="1" t="str">
        <f t="shared" si="12"/>
        <v>mar</v>
      </c>
      <c r="E301" s="1" t="str">
        <f t="shared" si="13"/>
        <v>1997</v>
      </c>
      <c r="F301" s="1">
        <v>35548</v>
      </c>
      <c r="G301" s="1">
        <v>35523</v>
      </c>
      <c r="H301">
        <v>2</v>
      </c>
      <c r="I301" t="str">
        <f t="shared" si="14"/>
        <v>USPS</v>
      </c>
      <c r="J301">
        <v>210.19</v>
      </c>
      <c r="K301" t="s">
        <v>55</v>
      </c>
      <c r="L301" t="s">
        <v>309</v>
      </c>
      <c r="M301" t="s">
        <v>310</v>
      </c>
      <c r="N301" t="s">
        <v>311</v>
      </c>
      <c r="O301" t="s">
        <v>312</v>
      </c>
      <c r="P301" t="s">
        <v>298</v>
      </c>
    </row>
    <row r="302" spans="1:16" x14ac:dyDescent="0.25">
      <c r="A302">
        <v>10498</v>
      </c>
      <c r="B302" t="s">
        <v>307</v>
      </c>
      <c r="C302" s="1">
        <v>35527</v>
      </c>
      <c r="D302" s="1" t="str">
        <f t="shared" si="12"/>
        <v>abr</v>
      </c>
      <c r="E302" s="1" t="str">
        <f t="shared" si="13"/>
        <v>1997</v>
      </c>
      <c r="F302" s="1">
        <v>35555</v>
      </c>
      <c r="G302" s="1">
        <v>35531</v>
      </c>
      <c r="H302">
        <v>2</v>
      </c>
      <c r="I302" t="str">
        <f t="shared" si="14"/>
        <v>USPS</v>
      </c>
      <c r="J302">
        <v>29.75</v>
      </c>
      <c r="K302" t="s">
        <v>55</v>
      </c>
      <c r="L302" t="s">
        <v>309</v>
      </c>
      <c r="M302" t="s">
        <v>310</v>
      </c>
      <c r="N302" t="s">
        <v>311</v>
      </c>
      <c r="O302" t="s">
        <v>312</v>
      </c>
      <c r="P302" t="s">
        <v>298</v>
      </c>
    </row>
    <row r="303" spans="1:16" x14ac:dyDescent="0.25">
      <c r="A303">
        <v>10552</v>
      </c>
      <c r="B303" t="s">
        <v>307</v>
      </c>
      <c r="C303" s="1">
        <v>35579</v>
      </c>
      <c r="D303" s="1" t="str">
        <f t="shared" si="12"/>
        <v>mai</v>
      </c>
      <c r="E303" s="1" t="str">
        <f t="shared" si="13"/>
        <v>1997</v>
      </c>
      <c r="F303" s="1">
        <v>35607</v>
      </c>
      <c r="G303" s="1">
        <v>35586</v>
      </c>
      <c r="H303">
        <v>1</v>
      </c>
      <c r="I303" t="str">
        <f t="shared" si="14"/>
        <v>UPS</v>
      </c>
      <c r="J303">
        <v>83.22</v>
      </c>
      <c r="K303" t="s">
        <v>55</v>
      </c>
      <c r="L303" t="s">
        <v>309</v>
      </c>
      <c r="M303" t="s">
        <v>310</v>
      </c>
      <c r="N303" t="s">
        <v>311</v>
      </c>
      <c r="O303" t="s">
        <v>312</v>
      </c>
      <c r="P303" t="s">
        <v>298</v>
      </c>
    </row>
    <row r="304" spans="1:16" x14ac:dyDescent="0.25">
      <c r="A304">
        <v>10601</v>
      </c>
      <c r="B304" t="s">
        <v>307</v>
      </c>
      <c r="C304" s="1">
        <v>35627</v>
      </c>
      <c r="D304" s="1" t="str">
        <f t="shared" si="12"/>
        <v>jul</v>
      </c>
      <c r="E304" s="1" t="str">
        <f t="shared" si="13"/>
        <v>1997</v>
      </c>
      <c r="F304" s="1">
        <v>35669</v>
      </c>
      <c r="G304" s="1">
        <v>35633</v>
      </c>
      <c r="H304">
        <v>1</v>
      </c>
      <c r="I304" t="str">
        <f t="shared" si="14"/>
        <v>UPS</v>
      </c>
      <c r="J304">
        <v>58.3</v>
      </c>
      <c r="K304" t="s">
        <v>55</v>
      </c>
      <c r="L304" t="s">
        <v>309</v>
      </c>
      <c r="M304" t="s">
        <v>310</v>
      </c>
      <c r="N304" t="s">
        <v>311</v>
      </c>
      <c r="O304" t="s">
        <v>312</v>
      </c>
      <c r="P304" t="s">
        <v>298</v>
      </c>
    </row>
    <row r="305" spans="1:16" x14ac:dyDescent="0.25">
      <c r="A305">
        <v>10613</v>
      </c>
      <c r="B305" t="s">
        <v>307</v>
      </c>
      <c r="C305" s="1">
        <v>35640</v>
      </c>
      <c r="D305" s="1" t="str">
        <f t="shared" si="12"/>
        <v>jul</v>
      </c>
      <c r="E305" s="1" t="str">
        <f t="shared" si="13"/>
        <v>1997</v>
      </c>
      <c r="F305" s="1">
        <v>35668</v>
      </c>
      <c r="G305" s="1">
        <v>35643</v>
      </c>
      <c r="H305">
        <v>2</v>
      </c>
      <c r="I305" t="str">
        <f t="shared" si="14"/>
        <v>USPS</v>
      </c>
      <c r="J305">
        <v>8.11</v>
      </c>
      <c r="K305" t="s">
        <v>55</v>
      </c>
      <c r="L305" t="s">
        <v>309</v>
      </c>
      <c r="M305" t="s">
        <v>310</v>
      </c>
      <c r="N305" t="s">
        <v>311</v>
      </c>
      <c r="O305" t="s">
        <v>312</v>
      </c>
      <c r="P305" t="s">
        <v>298</v>
      </c>
    </row>
    <row r="306" spans="1:16" x14ac:dyDescent="0.25">
      <c r="A306">
        <v>10641</v>
      </c>
      <c r="B306" t="s">
        <v>307</v>
      </c>
      <c r="C306" s="1">
        <v>35664</v>
      </c>
      <c r="D306" s="1" t="str">
        <f t="shared" si="12"/>
        <v>ago</v>
      </c>
      <c r="E306" s="1" t="str">
        <f t="shared" si="13"/>
        <v>1997</v>
      </c>
      <c r="F306" s="1">
        <v>35692</v>
      </c>
      <c r="G306" s="1">
        <v>35668</v>
      </c>
      <c r="H306">
        <v>2</v>
      </c>
      <c r="I306" t="str">
        <f t="shared" si="14"/>
        <v>USPS</v>
      </c>
      <c r="J306">
        <v>179.61</v>
      </c>
      <c r="K306" t="s">
        <v>55</v>
      </c>
      <c r="L306" t="s">
        <v>309</v>
      </c>
      <c r="M306" t="s">
        <v>310</v>
      </c>
      <c r="N306" t="s">
        <v>311</v>
      </c>
      <c r="O306" t="s">
        <v>312</v>
      </c>
      <c r="P306" t="s">
        <v>298</v>
      </c>
    </row>
    <row r="307" spans="1:16" x14ac:dyDescent="0.25">
      <c r="A307">
        <v>10705</v>
      </c>
      <c r="B307" t="s">
        <v>307</v>
      </c>
      <c r="C307" s="1">
        <v>35718</v>
      </c>
      <c r="D307" s="1" t="str">
        <f t="shared" si="12"/>
        <v>out</v>
      </c>
      <c r="E307" s="1" t="str">
        <f t="shared" si="13"/>
        <v>1997</v>
      </c>
      <c r="F307" s="1">
        <v>35746</v>
      </c>
      <c r="G307" s="1">
        <v>35752</v>
      </c>
      <c r="H307">
        <v>2</v>
      </c>
      <c r="I307" t="str">
        <f t="shared" si="14"/>
        <v>USPS</v>
      </c>
      <c r="J307">
        <v>3.52</v>
      </c>
      <c r="K307" t="s">
        <v>55</v>
      </c>
      <c r="L307" t="s">
        <v>309</v>
      </c>
      <c r="M307" t="s">
        <v>310</v>
      </c>
      <c r="N307" t="s">
        <v>311</v>
      </c>
      <c r="O307" t="s">
        <v>312</v>
      </c>
      <c r="P307" t="s">
        <v>298</v>
      </c>
    </row>
    <row r="308" spans="1:16" x14ac:dyDescent="0.25">
      <c r="A308">
        <v>10796</v>
      </c>
      <c r="B308" t="s">
        <v>307</v>
      </c>
      <c r="C308" s="1">
        <v>35789</v>
      </c>
      <c r="D308" s="1" t="str">
        <f t="shared" si="12"/>
        <v>dez</v>
      </c>
      <c r="E308" s="1" t="str">
        <f t="shared" si="13"/>
        <v>1997</v>
      </c>
      <c r="F308" s="1">
        <v>35817</v>
      </c>
      <c r="G308" s="1">
        <v>35809</v>
      </c>
      <c r="H308">
        <v>1</v>
      </c>
      <c r="I308" t="str">
        <f t="shared" si="14"/>
        <v>UPS</v>
      </c>
      <c r="J308">
        <v>26.52</v>
      </c>
      <c r="K308" t="s">
        <v>55</v>
      </c>
      <c r="L308" t="s">
        <v>309</v>
      </c>
      <c r="M308" t="s">
        <v>310</v>
      </c>
      <c r="N308" t="s">
        <v>311</v>
      </c>
      <c r="O308" t="s">
        <v>312</v>
      </c>
      <c r="P308" t="s">
        <v>298</v>
      </c>
    </row>
    <row r="309" spans="1:16" x14ac:dyDescent="0.25">
      <c r="A309">
        <v>10863</v>
      </c>
      <c r="B309" t="s">
        <v>307</v>
      </c>
      <c r="C309" s="1">
        <v>35828</v>
      </c>
      <c r="D309" s="1" t="str">
        <f t="shared" si="12"/>
        <v>fev</v>
      </c>
      <c r="E309" s="1" t="str">
        <f t="shared" si="13"/>
        <v>1998</v>
      </c>
      <c r="F309" s="1">
        <v>35856</v>
      </c>
      <c r="G309" s="1">
        <v>35843</v>
      </c>
      <c r="H309">
        <v>2</v>
      </c>
      <c r="I309" t="str">
        <f t="shared" si="14"/>
        <v>USPS</v>
      </c>
      <c r="J309">
        <v>30.26</v>
      </c>
      <c r="K309" t="s">
        <v>55</v>
      </c>
      <c r="L309" t="s">
        <v>309</v>
      </c>
      <c r="M309" t="s">
        <v>310</v>
      </c>
      <c r="N309" t="s">
        <v>311</v>
      </c>
      <c r="O309" t="s">
        <v>312</v>
      </c>
      <c r="P309" t="s">
        <v>298</v>
      </c>
    </row>
    <row r="310" spans="1:16" x14ac:dyDescent="0.25">
      <c r="A310">
        <v>10901</v>
      </c>
      <c r="B310" t="s">
        <v>307</v>
      </c>
      <c r="C310" s="1">
        <v>35849</v>
      </c>
      <c r="D310" s="1" t="str">
        <f t="shared" si="12"/>
        <v>fev</v>
      </c>
      <c r="E310" s="1" t="str">
        <f t="shared" si="13"/>
        <v>1998</v>
      </c>
      <c r="F310" s="1">
        <v>35877</v>
      </c>
      <c r="G310" s="1">
        <v>35852</v>
      </c>
      <c r="H310">
        <v>1</v>
      </c>
      <c r="I310" t="str">
        <f t="shared" si="14"/>
        <v>UPS</v>
      </c>
      <c r="J310">
        <v>62.09</v>
      </c>
      <c r="K310" t="s">
        <v>55</v>
      </c>
      <c r="L310" t="s">
        <v>309</v>
      </c>
      <c r="M310" t="s">
        <v>310</v>
      </c>
      <c r="N310" t="s">
        <v>311</v>
      </c>
      <c r="O310" t="s">
        <v>312</v>
      </c>
      <c r="P310" t="s">
        <v>298</v>
      </c>
    </row>
    <row r="311" spans="1:16" x14ac:dyDescent="0.25">
      <c r="A311">
        <v>10957</v>
      </c>
      <c r="B311" t="s">
        <v>307</v>
      </c>
      <c r="C311" s="1">
        <v>35872</v>
      </c>
      <c r="D311" s="1" t="str">
        <f t="shared" si="12"/>
        <v>mar</v>
      </c>
      <c r="E311" s="1" t="str">
        <f t="shared" si="13"/>
        <v>1998</v>
      </c>
      <c r="F311" s="1">
        <v>35900</v>
      </c>
      <c r="G311" s="1">
        <v>35881</v>
      </c>
      <c r="H311">
        <v>3</v>
      </c>
      <c r="I311" t="str">
        <f t="shared" si="14"/>
        <v>DHL</v>
      </c>
      <c r="J311">
        <v>105.36</v>
      </c>
      <c r="K311" t="s">
        <v>55</v>
      </c>
      <c r="L311" t="s">
        <v>309</v>
      </c>
      <c r="M311" t="s">
        <v>310</v>
      </c>
      <c r="N311" t="s">
        <v>311</v>
      </c>
      <c r="O311" t="s">
        <v>312</v>
      </c>
      <c r="P311" t="s">
        <v>298</v>
      </c>
    </row>
    <row r="312" spans="1:16" x14ac:dyDescent="0.25">
      <c r="A312">
        <v>10960</v>
      </c>
      <c r="B312" t="s">
        <v>307</v>
      </c>
      <c r="C312" s="1">
        <v>35873</v>
      </c>
      <c r="D312" s="1" t="str">
        <f t="shared" si="12"/>
        <v>mar</v>
      </c>
      <c r="E312" s="1" t="str">
        <f t="shared" si="13"/>
        <v>1998</v>
      </c>
      <c r="F312" s="1">
        <v>35887</v>
      </c>
      <c r="G312" s="1">
        <v>35893</v>
      </c>
      <c r="H312">
        <v>1</v>
      </c>
      <c r="I312" t="str">
        <f t="shared" si="14"/>
        <v>UPS</v>
      </c>
      <c r="J312">
        <v>2.08</v>
      </c>
      <c r="K312" t="s">
        <v>55</v>
      </c>
      <c r="L312" t="s">
        <v>309</v>
      </c>
      <c r="M312" t="s">
        <v>310</v>
      </c>
      <c r="N312" t="s">
        <v>311</v>
      </c>
      <c r="O312" t="s">
        <v>312</v>
      </c>
      <c r="P312" t="s">
        <v>298</v>
      </c>
    </row>
    <row r="313" spans="1:16" x14ac:dyDescent="0.25">
      <c r="A313">
        <v>10976</v>
      </c>
      <c r="B313" t="s">
        <v>307</v>
      </c>
      <c r="C313" s="1">
        <v>35879</v>
      </c>
      <c r="D313" s="1" t="str">
        <f t="shared" si="12"/>
        <v>mar</v>
      </c>
      <c r="E313" s="1" t="str">
        <f t="shared" si="13"/>
        <v>1998</v>
      </c>
      <c r="F313" s="1">
        <v>35921</v>
      </c>
      <c r="G313" s="1">
        <v>35888</v>
      </c>
      <c r="H313">
        <v>1</v>
      </c>
      <c r="I313" t="str">
        <f t="shared" si="14"/>
        <v>UPS</v>
      </c>
      <c r="J313">
        <v>37.97</v>
      </c>
      <c r="K313" t="s">
        <v>55</v>
      </c>
      <c r="L313" t="s">
        <v>309</v>
      </c>
      <c r="M313" t="s">
        <v>310</v>
      </c>
      <c r="N313" t="s">
        <v>311</v>
      </c>
      <c r="O313" t="s">
        <v>312</v>
      </c>
      <c r="P313" t="s">
        <v>298</v>
      </c>
    </row>
    <row r="314" spans="1:16" x14ac:dyDescent="0.25">
      <c r="A314">
        <v>11055</v>
      </c>
      <c r="B314" t="s">
        <v>307</v>
      </c>
      <c r="C314" s="1">
        <v>35913</v>
      </c>
      <c r="D314" s="1" t="str">
        <f t="shared" si="12"/>
        <v>abr</v>
      </c>
      <c r="E314" s="1" t="str">
        <f t="shared" si="13"/>
        <v>1998</v>
      </c>
      <c r="F314" s="1">
        <v>35941</v>
      </c>
      <c r="G314" s="1">
        <v>35920</v>
      </c>
      <c r="H314">
        <v>2</v>
      </c>
      <c r="I314" t="str">
        <f t="shared" si="14"/>
        <v>USPS</v>
      </c>
      <c r="J314">
        <v>120.92</v>
      </c>
      <c r="K314" t="s">
        <v>55</v>
      </c>
      <c r="L314" t="s">
        <v>309</v>
      </c>
      <c r="M314" t="s">
        <v>310</v>
      </c>
      <c r="N314" t="s">
        <v>311</v>
      </c>
      <c r="O314" t="s">
        <v>312</v>
      </c>
      <c r="P314" t="s">
        <v>298</v>
      </c>
    </row>
    <row r="315" spans="1:16" x14ac:dyDescent="0.25">
      <c r="A315">
        <v>10375</v>
      </c>
      <c r="B315" t="s">
        <v>314</v>
      </c>
      <c r="C315" s="1">
        <v>35405</v>
      </c>
      <c r="D315" s="1" t="str">
        <f t="shared" si="12"/>
        <v>dez</v>
      </c>
      <c r="E315" s="1" t="str">
        <f t="shared" si="13"/>
        <v>1996</v>
      </c>
      <c r="F315" s="1">
        <v>35433</v>
      </c>
      <c r="G315" s="1">
        <v>35408</v>
      </c>
      <c r="H315">
        <v>2</v>
      </c>
      <c r="I315" t="str">
        <f t="shared" si="14"/>
        <v>USPS</v>
      </c>
      <c r="J315">
        <v>20.12</v>
      </c>
      <c r="K315" t="s">
        <v>54</v>
      </c>
      <c r="L315" t="s">
        <v>316</v>
      </c>
      <c r="M315" t="s">
        <v>317</v>
      </c>
      <c r="N315" t="s">
        <v>288</v>
      </c>
      <c r="O315" t="s">
        <v>318</v>
      </c>
      <c r="P315" t="s">
        <v>290</v>
      </c>
    </row>
    <row r="316" spans="1:16" x14ac:dyDescent="0.25">
      <c r="A316">
        <v>10394</v>
      </c>
      <c r="B316" t="s">
        <v>314</v>
      </c>
      <c r="C316" s="1">
        <v>35424</v>
      </c>
      <c r="D316" s="1" t="str">
        <f t="shared" si="12"/>
        <v>dez</v>
      </c>
      <c r="E316" s="1" t="str">
        <f t="shared" si="13"/>
        <v>1996</v>
      </c>
      <c r="F316" s="1">
        <v>35452</v>
      </c>
      <c r="G316" s="1">
        <v>35433</v>
      </c>
      <c r="H316">
        <v>3</v>
      </c>
      <c r="I316" t="str">
        <f t="shared" si="14"/>
        <v>DHL</v>
      </c>
      <c r="J316">
        <v>30.34</v>
      </c>
      <c r="K316" t="s">
        <v>54</v>
      </c>
      <c r="L316" t="s">
        <v>316</v>
      </c>
      <c r="M316" t="s">
        <v>317</v>
      </c>
      <c r="N316" t="s">
        <v>288</v>
      </c>
      <c r="O316" t="s">
        <v>318</v>
      </c>
      <c r="P316" t="s">
        <v>290</v>
      </c>
    </row>
    <row r="317" spans="1:16" x14ac:dyDescent="0.25">
      <c r="A317">
        <v>10415</v>
      </c>
      <c r="B317" t="s">
        <v>314</v>
      </c>
      <c r="C317" s="1">
        <v>35445</v>
      </c>
      <c r="D317" s="1" t="str">
        <f t="shared" si="12"/>
        <v>jan</v>
      </c>
      <c r="E317" s="1" t="str">
        <f t="shared" si="13"/>
        <v>1997</v>
      </c>
      <c r="F317" s="1">
        <v>35473</v>
      </c>
      <c r="G317" s="1">
        <v>35454</v>
      </c>
      <c r="H317">
        <v>1</v>
      </c>
      <c r="I317" t="str">
        <f t="shared" si="14"/>
        <v>UPS</v>
      </c>
      <c r="J317">
        <v>0.2</v>
      </c>
      <c r="K317" t="s">
        <v>54</v>
      </c>
      <c r="L317" t="s">
        <v>316</v>
      </c>
      <c r="M317" t="s">
        <v>317</v>
      </c>
      <c r="N317" t="s">
        <v>288</v>
      </c>
      <c r="O317" t="s">
        <v>318</v>
      </c>
      <c r="P317" t="s">
        <v>290</v>
      </c>
    </row>
    <row r="318" spans="1:16" x14ac:dyDescent="0.25">
      <c r="A318">
        <v>10600</v>
      </c>
      <c r="B318" t="s">
        <v>314</v>
      </c>
      <c r="C318" s="1">
        <v>35627</v>
      </c>
      <c r="D318" s="1" t="str">
        <f t="shared" si="12"/>
        <v>jul</v>
      </c>
      <c r="E318" s="1" t="str">
        <f t="shared" si="13"/>
        <v>1997</v>
      </c>
      <c r="F318" s="1">
        <v>35655</v>
      </c>
      <c r="G318" s="1">
        <v>35632</v>
      </c>
      <c r="H318">
        <v>1</v>
      </c>
      <c r="I318" t="str">
        <f t="shared" si="14"/>
        <v>UPS</v>
      </c>
      <c r="J318">
        <v>45.13</v>
      </c>
      <c r="K318" t="s">
        <v>54</v>
      </c>
      <c r="L318" t="s">
        <v>316</v>
      </c>
      <c r="M318" t="s">
        <v>317</v>
      </c>
      <c r="N318" t="s">
        <v>288</v>
      </c>
      <c r="O318" t="s">
        <v>318</v>
      </c>
      <c r="P318" t="s">
        <v>290</v>
      </c>
    </row>
    <row r="319" spans="1:16" x14ac:dyDescent="0.25">
      <c r="A319">
        <v>10660</v>
      </c>
      <c r="B319" t="s">
        <v>314</v>
      </c>
      <c r="C319" s="1">
        <v>35681</v>
      </c>
      <c r="D319" s="1" t="str">
        <f t="shared" si="12"/>
        <v>set</v>
      </c>
      <c r="E319" s="1" t="str">
        <f t="shared" si="13"/>
        <v>1997</v>
      </c>
      <c r="F319" s="1">
        <v>35709</v>
      </c>
      <c r="G319" s="1">
        <v>35718</v>
      </c>
      <c r="H319">
        <v>1</v>
      </c>
      <c r="I319" t="str">
        <f t="shared" si="14"/>
        <v>UPS</v>
      </c>
      <c r="J319">
        <v>111.29</v>
      </c>
      <c r="K319" t="s">
        <v>54</v>
      </c>
      <c r="L319" t="s">
        <v>316</v>
      </c>
      <c r="M319" t="s">
        <v>317</v>
      </c>
      <c r="N319" t="s">
        <v>288</v>
      </c>
      <c r="O319" t="s">
        <v>318</v>
      </c>
      <c r="P319" t="s">
        <v>290</v>
      </c>
    </row>
    <row r="320" spans="1:16" x14ac:dyDescent="0.25">
      <c r="A320">
        <v>10298</v>
      </c>
      <c r="B320" t="s">
        <v>320</v>
      </c>
      <c r="C320" s="1">
        <v>35313</v>
      </c>
      <c r="D320" s="1" t="str">
        <f t="shared" si="12"/>
        <v>set</v>
      </c>
      <c r="E320" s="1" t="str">
        <f t="shared" si="13"/>
        <v>1996</v>
      </c>
      <c r="F320" s="1">
        <v>35341</v>
      </c>
      <c r="G320" s="1">
        <v>35319</v>
      </c>
      <c r="H320">
        <v>2</v>
      </c>
      <c r="I320" t="str">
        <f t="shared" si="14"/>
        <v>USPS</v>
      </c>
      <c r="J320">
        <v>168.22</v>
      </c>
      <c r="K320" t="s">
        <v>53</v>
      </c>
      <c r="L320" t="s">
        <v>321</v>
      </c>
      <c r="M320" t="s">
        <v>322</v>
      </c>
      <c r="N320" t="s">
        <v>323</v>
      </c>
      <c r="P320" t="s">
        <v>324</v>
      </c>
    </row>
    <row r="321" spans="1:16" x14ac:dyDescent="0.25">
      <c r="A321">
        <v>10309</v>
      </c>
      <c r="B321" t="s">
        <v>320</v>
      </c>
      <c r="C321" s="1">
        <v>35327</v>
      </c>
      <c r="D321" s="1" t="str">
        <f t="shared" si="12"/>
        <v>set</v>
      </c>
      <c r="E321" s="1" t="str">
        <f t="shared" si="13"/>
        <v>1996</v>
      </c>
      <c r="F321" s="1">
        <v>35355</v>
      </c>
      <c r="G321" s="1">
        <v>35361</v>
      </c>
      <c r="H321">
        <v>1</v>
      </c>
      <c r="I321" t="str">
        <f t="shared" si="14"/>
        <v>UPS</v>
      </c>
      <c r="J321">
        <v>47.3</v>
      </c>
      <c r="K321" t="s">
        <v>53</v>
      </c>
      <c r="L321" t="s">
        <v>321</v>
      </c>
      <c r="M321" t="s">
        <v>322</v>
      </c>
      <c r="N321" t="s">
        <v>323</v>
      </c>
      <c r="P321" t="s">
        <v>324</v>
      </c>
    </row>
    <row r="322" spans="1:16" x14ac:dyDescent="0.25">
      <c r="A322">
        <v>10335</v>
      </c>
      <c r="B322" t="s">
        <v>320</v>
      </c>
      <c r="C322" s="1">
        <v>35360</v>
      </c>
      <c r="D322" s="1" t="str">
        <f t="shared" si="12"/>
        <v>out</v>
      </c>
      <c r="E322" s="1" t="str">
        <f t="shared" si="13"/>
        <v>1996</v>
      </c>
      <c r="F322" s="1">
        <v>35388</v>
      </c>
      <c r="G322" s="1">
        <v>35362</v>
      </c>
      <c r="H322">
        <v>2</v>
      </c>
      <c r="I322" t="str">
        <f t="shared" si="14"/>
        <v>USPS</v>
      </c>
      <c r="J322">
        <v>42.11</v>
      </c>
      <c r="K322" t="s">
        <v>53</v>
      </c>
      <c r="L322" t="s">
        <v>321</v>
      </c>
      <c r="M322" t="s">
        <v>322</v>
      </c>
      <c r="N322" t="s">
        <v>323</v>
      </c>
      <c r="P322" t="s">
        <v>324</v>
      </c>
    </row>
    <row r="323" spans="1:16" x14ac:dyDescent="0.25">
      <c r="A323">
        <v>10373</v>
      </c>
      <c r="B323" t="s">
        <v>320</v>
      </c>
      <c r="C323" s="1">
        <v>35404</v>
      </c>
      <c r="D323" s="1" t="str">
        <f t="shared" ref="D323:D386" si="15">TEXT(C323,"mmm")</f>
        <v>dez</v>
      </c>
      <c r="E323" s="1" t="str">
        <f t="shared" ref="E323:E386" si="16">TEXT(C323,"aaa")</f>
        <v>1996</v>
      </c>
      <c r="F323" s="1">
        <v>35432</v>
      </c>
      <c r="G323" s="1">
        <v>35410</v>
      </c>
      <c r="H323">
        <v>3</v>
      </c>
      <c r="I323" t="str">
        <f t="shared" ref="I323:I386" si="17">CHOOSE(H323,"UPS","USPS","DHL")</f>
        <v>DHL</v>
      </c>
      <c r="J323">
        <v>124.12</v>
      </c>
      <c r="K323" t="s">
        <v>53</v>
      </c>
      <c r="L323" t="s">
        <v>321</v>
      </c>
      <c r="M323" t="s">
        <v>322</v>
      </c>
      <c r="N323" t="s">
        <v>323</v>
      </c>
      <c r="P323" t="s">
        <v>324</v>
      </c>
    </row>
    <row r="324" spans="1:16" x14ac:dyDescent="0.25">
      <c r="A324">
        <v>10380</v>
      </c>
      <c r="B324" t="s">
        <v>320</v>
      </c>
      <c r="C324" s="1">
        <v>35411</v>
      </c>
      <c r="D324" s="1" t="str">
        <f t="shared" si="15"/>
        <v>dez</v>
      </c>
      <c r="E324" s="1" t="str">
        <f t="shared" si="16"/>
        <v>1996</v>
      </c>
      <c r="F324" s="1">
        <v>35439</v>
      </c>
      <c r="G324" s="1">
        <v>35446</v>
      </c>
      <c r="H324">
        <v>3</v>
      </c>
      <c r="I324" t="str">
        <f t="shared" si="17"/>
        <v>DHL</v>
      </c>
      <c r="J324">
        <v>35.03</v>
      </c>
      <c r="K324" t="s">
        <v>53</v>
      </c>
      <c r="L324" t="s">
        <v>321</v>
      </c>
      <c r="M324" t="s">
        <v>322</v>
      </c>
      <c r="N324" t="s">
        <v>323</v>
      </c>
      <c r="P324" t="s">
        <v>324</v>
      </c>
    </row>
    <row r="325" spans="1:16" x14ac:dyDescent="0.25">
      <c r="A325">
        <v>10429</v>
      </c>
      <c r="B325" t="s">
        <v>320</v>
      </c>
      <c r="C325" s="1">
        <v>35459</v>
      </c>
      <c r="D325" s="1" t="str">
        <f t="shared" si="15"/>
        <v>jan</v>
      </c>
      <c r="E325" s="1" t="str">
        <f t="shared" si="16"/>
        <v>1997</v>
      </c>
      <c r="F325" s="1">
        <v>35501</v>
      </c>
      <c r="G325" s="1">
        <v>35468</v>
      </c>
      <c r="H325">
        <v>2</v>
      </c>
      <c r="I325" t="str">
        <f t="shared" si="17"/>
        <v>USPS</v>
      </c>
      <c r="J325">
        <v>56.63</v>
      </c>
      <c r="K325" t="s">
        <v>53</v>
      </c>
      <c r="L325" t="s">
        <v>321</v>
      </c>
      <c r="M325" t="s">
        <v>322</v>
      </c>
      <c r="N325" t="s">
        <v>323</v>
      </c>
      <c r="P325" t="s">
        <v>324</v>
      </c>
    </row>
    <row r="326" spans="1:16" x14ac:dyDescent="0.25">
      <c r="A326">
        <v>10503</v>
      </c>
      <c r="B326" t="s">
        <v>320</v>
      </c>
      <c r="C326" s="1">
        <v>35531</v>
      </c>
      <c r="D326" s="1" t="str">
        <f t="shared" si="15"/>
        <v>abr</v>
      </c>
      <c r="E326" s="1" t="str">
        <f t="shared" si="16"/>
        <v>1997</v>
      </c>
      <c r="F326" s="1">
        <v>35559</v>
      </c>
      <c r="G326" s="1">
        <v>35536</v>
      </c>
      <c r="H326">
        <v>2</v>
      </c>
      <c r="I326" t="str">
        <f t="shared" si="17"/>
        <v>USPS</v>
      </c>
      <c r="J326">
        <v>16.739999999999998</v>
      </c>
      <c r="K326" t="s">
        <v>53</v>
      </c>
      <c r="L326" t="s">
        <v>321</v>
      </c>
      <c r="M326" t="s">
        <v>322</v>
      </c>
      <c r="N326" t="s">
        <v>323</v>
      </c>
      <c r="P326" t="s">
        <v>324</v>
      </c>
    </row>
    <row r="327" spans="1:16" x14ac:dyDescent="0.25">
      <c r="A327">
        <v>10516</v>
      </c>
      <c r="B327" t="s">
        <v>320</v>
      </c>
      <c r="C327" s="1">
        <v>35544</v>
      </c>
      <c r="D327" s="1" t="str">
        <f t="shared" si="15"/>
        <v>abr</v>
      </c>
      <c r="E327" s="1" t="str">
        <f t="shared" si="16"/>
        <v>1997</v>
      </c>
      <c r="F327" s="1">
        <v>35572</v>
      </c>
      <c r="G327" s="1">
        <v>35551</v>
      </c>
      <c r="H327">
        <v>3</v>
      </c>
      <c r="I327" t="str">
        <f t="shared" si="17"/>
        <v>DHL</v>
      </c>
      <c r="J327">
        <v>62.78</v>
      </c>
      <c r="K327" t="s">
        <v>53</v>
      </c>
      <c r="L327" t="s">
        <v>321</v>
      </c>
      <c r="M327" t="s">
        <v>322</v>
      </c>
      <c r="N327" t="s">
        <v>323</v>
      </c>
      <c r="P327" t="s">
        <v>324</v>
      </c>
    </row>
    <row r="328" spans="1:16" x14ac:dyDescent="0.25">
      <c r="A328">
        <v>10567</v>
      </c>
      <c r="B328" t="s">
        <v>320</v>
      </c>
      <c r="C328" s="1">
        <v>35593</v>
      </c>
      <c r="D328" s="1" t="str">
        <f t="shared" si="15"/>
        <v>jun</v>
      </c>
      <c r="E328" s="1" t="str">
        <f t="shared" si="16"/>
        <v>1997</v>
      </c>
      <c r="F328" s="1">
        <v>35621</v>
      </c>
      <c r="G328" s="1">
        <v>35598</v>
      </c>
      <c r="H328">
        <v>1</v>
      </c>
      <c r="I328" t="str">
        <f t="shared" si="17"/>
        <v>UPS</v>
      </c>
      <c r="J328">
        <v>33.97</v>
      </c>
      <c r="K328" t="s">
        <v>53</v>
      </c>
      <c r="L328" t="s">
        <v>321</v>
      </c>
      <c r="M328" t="s">
        <v>322</v>
      </c>
      <c r="N328" t="s">
        <v>323</v>
      </c>
      <c r="P328" t="s">
        <v>324</v>
      </c>
    </row>
    <row r="329" spans="1:16" x14ac:dyDescent="0.25">
      <c r="A329">
        <v>10646</v>
      </c>
      <c r="B329" t="s">
        <v>320</v>
      </c>
      <c r="C329" s="1">
        <v>35669</v>
      </c>
      <c r="D329" s="1" t="str">
        <f t="shared" si="15"/>
        <v>ago</v>
      </c>
      <c r="E329" s="1" t="str">
        <f t="shared" si="16"/>
        <v>1997</v>
      </c>
      <c r="F329" s="1">
        <v>35711</v>
      </c>
      <c r="G329" s="1">
        <v>35676</v>
      </c>
      <c r="H329">
        <v>3</v>
      </c>
      <c r="I329" t="str">
        <f t="shared" si="17"/>
        <v>DHL</v>
      </c>
      <c r="J329">
        <v>142.33000000000001</v>
      </c>
      <c r="K329" t="s">
        <v>53</v>
      </c>
      <c r="L329" t="s">
        <v>321</v>
      </c>
      <c r="M329" t="s">
        <v>322</v>
      </c>
      <c r="N329" t="s">
        <v>323</v>
      </c>
      <c r="P329" t="s">
        <v>324</v>
      </c>
    </row>
    <row r="330" spans="1:16" x14ac:dyDescent="0.25">
      <c r="A330">
        <v>10661</v>
      </c>
      <c r="B330" t="s">
        <v>320</v>
      </c>
      <c r="C330" s="1">
        <v>35682</v>
      </c>
      <c r="D330" s="1" t="str">
        <f t="shared" si="15"/>
        <v>set</v>
      </c>
      <c r="E330" s="1" t="str">
        <f t="shared" si="16"/>
        <v>1997</v>
      </c>
      <c r="F330" s="1">
        <v>35710</v>
      </c>
      <c r="G330" s="1">
        <v>35688</v>
      </c>
      <c r="H330">
        <v>3</v>
      </c>
      <c r="I330" t="str">
        <f t="shared" si="17"/>
        <v>DHL</v>
      </c>
      <c r="J330">
        <v>17.55</v>
      </c>
      <c r="K330" t="s">
        <v>53</v>
      </c>
      <c r="L330" t="s">
        <v>321</v>
      </c>
      <c r="M330" t="s">
        <v>322</v>
      </c>
      <c r="N330" t="s">
        <v>323</v>
      </c>
      <c r="P330" t="s">
        <v>324</v>
      </c>
    </row>
    <row r="331" spans="1:16" x14ac:dyDescent="0.25">
      <c r="A331">
        <v>10687</v>
      </c>
      <c r="B331" t="s">
        <v>320</v>
      </c>
      <c r="C331" s="1">
        <v>35703</v>
      </c>
      <c r="D331" s="1" t="str">
        <f t="shared" si="15"/>
        <v>set</v>
      </c>
      <c r="E331" s="1" t="str">
        <f t="shared" si="16"/>
        <v>1997</v>
      </c>
      <c r="F331" s="1">
        <v>35731</v>
      </c>
      <c r="G331" s="1">
        <v>35733</v>
      </c>
      <c r="H331">
        <v>2</v>
      </c>
      <c r="I331" t="str">
        <f t="shared" si="17"/>
        <v>USPS</v>
      </c>
      <c r="J331">
        <v>296.43</v>
      </c>
      <c r="K331" t="s">
        <v>53</v>
      </c>
      <c r="L331" t="s">
        <v>321</v>
      </c>
      <c r="M331" t="s">
        <v>322</v>
      </c>
      <c r="N331" t="s">
        <v>323</v>
      </c>
      <c r="P331" t="s">
        <v>324</v>
      </c>
    </row>
    <row r="332" spans="1:16" x14ac:dyDescent="0.25">
      <c r="A332">
        <v>10701</v>
      </c>
      <c r="B332" t="s">
        <v>320</v>
      </c>
      <c r="C332" s="1">
        <v>35716</v>
      </c>
      <c r="D332" s="1" t="str">
        <f t="shared" si="15"/>
        <v>out</v>
      </c>
      <c r="E332" s="1" t="str">
        <f t="shared" si="16"/>
        <v>1997</v>
      </c>
      <c r="F332" s="1">
        <v>35730</v>
      </c>
      <c r="G332" s="1">
        <v>35718</v>
      </c>
      <c r="H332">
        <v>3</v>
      </c>
      <c r="I332" t="str">
        <f t="shared" si="17"/>
        <v>DHL</v>
      </c>
      <c r="J332">
        <v>220.31</v>
      </c>
      <c r="K332" t="s">
        <v>53</v>
      </c>
      <c r="L332" t="s">
        <v>321</v>
      </c>
      <c r="M332" t="s">
        <v>322</v>
      </c>
      <c r="N332" t="s">
        <v>323</v>
      </c>
      <c r="P332" t="s">
        <v>324</v>
      </c>
    </row>
    <row r="333" spans="1:16" x14ac:dyDescent="0.25">
      <c r="A333">
        <v>10712</v>
      </c>
      <c r="B333" t="s">
        <v>320</v>
      </c>
      <c r="C333" s="1">
        <v>35724</v>
      </c>
      <c r="D333" s="1" t="str">
        <f t="shared" si="15"/>
        <v>out</v>
      </c>
      <c r="E333" s="1" t="str">
        <f t="shared" si="16"/>
        <v>1997</v>
      </c>
      <c r="F333" s="1">
        <v>35752</v>
      </c>
      <c r="G333" s="1">
        <v>35734</v>
      </c>
      <c r="H333">
        <v>1</v>
      </c>
      <c r="I333" t="str">
        <f t="shared" si="17"/>
        <v>UPS</v>
      </c>
      <c r="J333">
        <v>89.93</v>
      </c>
      <c r="K333" t="s">
        <v>53</v>
      </c>
      <c r="L333" t="s">
        <v>321</v>
      </c>
      <c r="M333" t="s">
        <v>322</v>
      </c>
      <c r="N333" t="s">
        <v>323</v>
      </c>
      <c r="P333" t="s">
        <v>324</v>
      </c>
    </row>
    <row r="334" spans="1:16" x14ac:dyDescent="0.25">
      <c r="A334">
        <v>10736</v>
      </c>
      <c r="B334" t="s">
        <v>320</v>
      </c>
      <c r="C334" s="1">
        <v>35745</v>
      </c>
      <c r="D334" s="1" t="str">
        <f t="shared" si="15"/>
        <v>nov</v>
      </c>
      <c r="E334" s="1" t="str">
        <f t="shared" si="16"/>
        <v>1997</v>
      </c>
      <c r="F334" s="1">
        <v>35773</v>
      </c>
      <c r="G334" s="1">
        <v>35755</v>
      </c>
      <c r="H334">
        <v>2</v>
      </c>
      <c r="I334" t="str">
        <f t="shared" si="17"/>
        <v>USPS</v>
      </c>
      <c r="J334">
        <v>44.1</v>
      </c>
      <c r="K334" t="s">
        <v>53</v>
      </c>
      <c r="L334" t="s">
        <v>321</v>
      </c>
      <c r="M334" t="s">
        <v>322</v>
      </c>
      <c r="N334" t="s">
        <v>323</v>
      </c>
      <c r="P334" t="s">
        <v>324</v>
      </c>
    </row>
    <row r="335" spans="1:16" x14ac:dyDescent="0.25">
      <c r="A335">
        <v>10897</v>
      </c>
      <c r="B335" t="s">
        <v>320</v>
      </c>
      <c r="C335" s="1">
        <v>35845</v>
      </c>
      <c r="D335" s="1" t="str">
        <f t="shared" si="15"/>
        <v>fev</v>
      </c>
      <c r="E335" s="1" t="str">
        <f t="shared" si="16"/>
        <v>1998</v>
      </c>
      <c r="F335" s="1">
        <v>35873</v>
      </c>
      <c r="G335" s="1">
        <v>35851</v>
      </c>
      <c r="H335">
        <v>2</v>
      </c>
      <c r="I335" t="str">
        <f t="shared" si="17"/>
        <v>USPS</v>
      </c>
      <c r="J335">
        <v>603.54</v>
      </c>
      <c r="K335" t="s">
        <v>53</v>
      </c>
      <c r="L335" t="s">
        <v>321</v>
      </c>
      <c r="M335" t="s">
        <v>322</v>
      </c>
      <c r="N335" t="s">
        <v>323</v>
      </c>
      <c r="P335" t="s">
        <v>324</v>
      </c>
    </row>
    <row r="336" spans="1:16" x14ac:dyDescent="0.25">
      <c r="A336">
        <v>10912</v>
      </c>
      <c r="B336" t="s">
        <v>320</v>
      </c>
      <c r="C336" s="1">
        <v>35852</v>
      </c>
      <c r="D336" s="1" t="str">
        <f t="shared" si="15"/>
        <v>fev</v>
      </c>
      <c r="E336" s="1" t="str">
        <f t="shared" si="16"/>
        <v>1998</v>
      </c>
      <c r="F336" s="1">
        <v>35880</v>
      </c>
      <c r="G336" s="1">
        <v>35872</v>
      </c>
      <c r="H336">
        <v>2</v>
      </c>
      <c r="I336" t="str">
        <f t="shared" si="17"/>
        <v>USPS</v>
      </c>
      <c r="J336">
        <v>580.91</v>
      </c>
      <c r="K336" t="s">
        <v>53</v>
      </c>
      <c r="L336" t="s">
        <v>321</v>
      </c>
      <c r="M336" t="s">
        <v>322</v>
      </c>
      <c r="N336" t="s">
        <v>323</v>
      </c>
      <c r="P336" t="s">
        <v>324</v>
      </c>
    </row>
    <row r="337" spans="1:16" x14ac:dyDescent="0.25">
      <c r="A337">
        <v>10985</v>
      </c>
      <c r="B337" t="s">
        <v>320</v>
      </c>
      <c r="C337" s="1">
        <v>35884</v>
      </c>
      <c r="D337" s="1" t="str">
        <f t="shared" si="15"/>
        <v>mar</v>
      </c>
      <c r="E337" s="1" t="str">
        <f t="shared" si="16"/>
        <v>1998</v>
      </c>
      <c r="F337" s="1">
        <v>35912</v>
      </c>
      <c r="G337" s="1">
        <v>35887</v>
      </c>
      <c r="H337">
        <v>1</v>
      </c>
      <c r="I337" t="str">
        <f t="shared" si="17"/>
        <v>UPS</v>
      </c>
      <c r="J337">
        <v>91.51</v>
      </c>
      <c r="K337" t="s">
        <v>53</v>
      </c>
      <c r="L337" t="s">
        <v>321</v>
      </c>
      <c r="M337" t="s">
        <v>322</v>
      </c>
      <c r="N337" t="s">
        <v>323</v>
      </c>
      <c r="P337" t="s">
        <v>324</v>
      </c>
    </row>
    <row r="338" spans="1:16" x14ac:dyDescent="0.25">
      <c r="A338">
        <v>11063</v>
      </c>
      <c r="B338" t="s">
        <v>320</v>
      </c>
      <c r="C338" s="1">
        <v>35915</v>
      </c>
      <c r="D338" s="1" t="str">
        <f t="shared" si="15"/>
        <v>abr</v>
      </c>
      <c r="E338" s="1" t="str">
        <f t="shared" si="16"/>
        <v>1998</v>
      </c>
      <c r="F338" s="1">
        <v>35943</v>
      </c>
      <c r="G338" s="1">
        <v>35921</v>
      </c>
      <c r="H338">
        <v>2</v>
      </c>
      <c r="I338" t="str">
        <f t="shared" si="17"/>
        <v>USPS</v>
      </c>
      <c r="J338">
        <v>81.73</v>
      </c>
      <c r="K338" t="s">
        <v>53</v>
      </c>
      <c r="L338" t="s">
        <v>321</v>
      </c>
      <c r="M338" t="s">
        <v>322</v>
      </c>
      <c r="N338" t="s">
        <v>323</v>
      </c>
      <c r="P338" t="s">
        <v>324</v>
      </c>
    </row>
    <row r="339" spans="1:16" x14ac:dyDescent="0.25">
      <c r="A339">
        <v>10315</v>
      </c>
      <c r="B339" t="s">
        <v>326</v>
      </c>
      <c r="C339" s="1">
        <v>35334</v>
      </c>
      <c r="D339" s="1" t="str">
        <f t="shared" si="15"/>
        <v>set</v>
      </c>
      <c r="E339" s="1" t="str">
        <f t="shared" si="16"/>
        <v>1996</v>
      </c>
      <c r="F339" s="1">
        <v>35362</v>
      </c>
      <c r="G339" s="1">
        <v>35341</v>
      </c>
      <c r="H339">
        <v>2</v>
      </c>
      <c r="I339" t="str">
        <f t="shared" si="17"/>
        <v>USPS</v>
      </c>
      <c r="J339">
        <v>41.76</v>
      </c>
      <c r="K339" t="s">
        <v>52</v>
      </c>
      <c r="L339" t="s">
        <v>328</v>
      </c>
      <c r="M339" t="s">
        <v>329</v>
      </c>
      <c r="N339" t="s">
        <v>330</v>
      </c>
      <c r="O339" t="s">
        <v>331</v>
      </c>
      <c r="P339" t="s">
        <v>113</v>
      </c>
    </row>
    <row r="340" spans="1:16" x14ac:dyDescent="0.25">
      <c r="A340">
        <v>10318</v>
      </c>
      <c r="B340" t="s">
        <v>326</v>
      </c>
      <c r="C340" s="1">
        <v>35339</v>
      </c>
      <c r="D340" s="1" t="str">
        <f t="shared" si="15"/>
        <v>out</v>
      </c>
      <c r="E340" s="1" t="str">
        <f t="shared" si="16"/>
        <v>1996</v>
      </c>
      <c r="F340" s="1">
        <v>35367</v>
      </c>
      <c r="G340" s="1">
        <v>35342</v>
      </c>
      <c r="H340">
        <v>2</v>
      </c>
      <c r="I340" t="str">
        <f t="shared" si="17"/>
        <v>USPS</v>
      </c>
      <c r="J340">
        <v>4.7300000000000004</v>
      </c>
      <c r="K340" t="s">
        <v>52</v>
      </c>
      <c r="L340" t="s">
        <v>328</v>
      </c>
      <c r="M340" t="s">
        <v>329</v>
      </c>
      <c r="N340" t="s">
        <v>330</v>
      </c>
      <c r="O340" t="s">
        <v>331</v>
      </c>
      <c r="P340" t="s">
        <v>113</v>
      </c>
    </row>
    <row r="341" spans="1:16" x14ac:dyDescent="0.25">
      <c r="A341">
        <v>10321</v>
      </c>
      <c r="B341" t="s">
        <v>326</v>
      </c>
      <c r="C341" s="1">
        <v>35341</v>
      </c>
      <c r="D341" s="1" t="str">
        <f t="shared" si="15"/>
        <v>out</v>
      </c>
      <c r="E341" s="1" t="str">
        <f t="shared" si="16"/>
        <v>1996</v>
      </c>
      <c r="F341" s="1">
        <v>35369</v>
      </c>
      <c r="G341" s="1">
        <v>35349</v>
      </c>
      <c r="H341">
        <v>2</v>
      </c>
      <c r="I341" t="str">
        <f t="shared" si="17"/>
        <v>USPS</v>
      </c>
      <c r="J341">
        <v>3.43</v>
      </c>
      <c r="K341" t="s">
        <v>52</v>
      </c>
      <c r="L341" t="s">
        <v>328</v>
      </c>
      <c r="M341" t="s">
        <v>329</v>
      </c>
      <c r="N341" t="s">
        <v>330</v>
      </c>
      <c r="O341" t="s">
        <v>331</v>
      </c>
      <c r="P341" t="s">
        <v>113</v>
      </c>
    </row>
    <row r="342" spans="1:16" x14ac:dyDescent="0.25">
      <c r="A342">
        <v>10473</v>
      </c>
      <c r="B342" t="s">
        <v>326</v>
      </c>
      <c r="C342" s="1">
        <v>35502</v>
      </c>
      <c r="D342" s="1" t="str">
        <f t="shared" si="15"/>
        <v>mar</v>
      </c>
      <c r="E342" s="1" t="str">
        <f t="shared" si="16"/>
        <v>1997</v>
      </c>
      <c r="F342" s="1">
        <v>35516</v>
      </c>
      <c r="G342" s="1">
        <v>35510</v>
      </c>
      <c r="H342">
        <v>3</v>
      </c>
      <c r="I342" t="str">
        <f t="shared" si="17"/>
        <v>DHL</v>
      </c>
      <c r="J342">
        <v>16.37</v>
      </c>
      <c r="K342" t="s">
        <v>52</v>
      </c>
      <c r="L342" t="s">
        <v>328</v>
      </c>
      <c r="M342" t="s">
        <v>329</v>
      </c>
      <c r="N342" t="s">
        <v>330</v>
      </c>
      <c r="O342" t="s">
        <v>331</v>
      </c>
      <c r="P342" t="s">
        <v>113</v>
      </c>
    </row>
    <row r="343" spans="1:16" x14ac:dyDescent="0.25">
      <c r="A343">
        <v>10621</v>
      </c>
      <c r="B343" t="s">
        <v>326</v>
      </c>
      <c r="C343" s="1">
        <v>35647</v>
      </c>
      <c r="D343" s="1" t="str">
        <f t="shared" si="15"/>
        <v>ago</v>
      </c>
      <c r="E343" s="1" t="str">
        <f t="shared" si="16"/>
        <v>1997</v>
      </c>
      <c r="F343" s="1">
        <v>35675</v>
      </c>
      <c r="G343" s="1">
        <v>35653</v>
      </c>
      <c r="H343">
        <v>2</v>
      </c>
      <c r="I343" t="str">
        <f t="shared" si="17"/>
        <v>USPS</v>
      </c>
      <c r="J343">
        <v>23.73</v>
      </c>
      <c r="K343" t="s">
        <v>52</v>
      </c>
      <c r="L343" t="s">
        <v>328</v>
      </c>
      <c r="M343" t="s">
        <v>329</v>
      </c>
      <c r="N343" t="s">
        <v>330</v>
      </c>
      <c r="O343" t="s">
        <v>331</v>
      </c>
      <c r="P343" t="s">
        <v>113</v>
      </c>
    </row>
    <row r="344" spans="1:16" x14ac:dyDescent="0.25">
      <c r="A344">
        <v>10674</v>
      </c>
      <c r="B344" t="s">
        <v>326</v>
      </c>
      <c r="C344" s="1">
        <v>35691</v>
      </c>
      <c r="D344" s="1" t="str">
        <f t="shared" si="15"/>
        <v>set</v>
      </c>
      <c r="E344" s="1" t="str">
        <f t="shared" si="16"/>
        <v>1997</v>
      </c>
      <c r="F344" s="1">
        <v>35719</v>
      </c>
      <c r="G344" s="1">
        <v>35703</v>
      </c>
      <c r="H344">
        <v>2</v>
      </c>
      <c r="I344" t="str">
        <f t="shared" si="17"/>
        <v>USPS</v>
      </c>
      <c r="J344">
        <v>0.9</v>
      </c>
      <c r="K344" t="s">
        <v>52</v>
      </c>
      <c r="L344" t="s">
        <v>328</v>
      </c>
      <c r="M344" t="s">
        <v>329</v>
      </c>
      <c r="N344" t="s">
        <v>330</v>
      </c>
      <c r="O344" t="s">
        <v>331</v>
      </c>
      <c r="P344" t="s">
        <v>113</v>
      </c>
    </row>
    <row r="345" spans="1:16" x14ac:dyDescent="0.25">
      <c r="A345">
        <v>10749</v>
      </c>
      <c r="B345" t="s">
        <v>326</v>
      </c>
      <c r="C345" s="1">
        <v>35754</v>
      </c>
      <c r="D345" s="1" t="str">
        <f t="shared" si="15"/>
        <v>nov</v>
      </c>
      <c r="E345" s="1" t="str">
        <f t="shared" si="16"/>
        <v>1997</v>
      </c>
      <c r="F345" s="1">
        <v>35782</v>
      </c>
      <c r="G345" s="1">
        <v>35783</v>
      </c>
      <c r="H345">
        <v>2</v>
      </c>
      <c r="I345" t="str">
        <f t="shared" si="17"/>
        <v>USPS</v>
      </c>
      <c r="J345">
        <v>61.53</v>
      </c>
      <c r="K345" t="s">
        <v>52</v>
      </c>
      <c r="L345" t="s">
        <v>328</v>
      </c>
      <c r="M345" t="s">
        <v>329</v>
      </c>
      <c r="N345" t="s">
        <v>330</v>
      </c>
      <c r="O345" t="s">
        <v>331</v>
      </c>
      <c r="P345" t="s">
        <v>113</v>
      </c>
    </row>
    <row r="346" spans="1:16" x14ac:dyDescent="0.25">
      <c r="A346">
        <v>10798</v>
      </c>
      <c r="B346" t="s">
        <v>326</v>
      </c>
      <c r="C346" s="1">
        <v>35790</v>
      </c>
      <c r="D346" s="1" t="str">
        <f t="shared" si="15"/>
        <v>dez</v>
      </c>
      <c r="E346" s="1" t="str">
        <f t="shared" si="16"/>
        <v>1997</v>
      </c>
      <c r="F346" s="1">
        <v>35818</v>
      </c>
      <c r="G346" s="1">
        <v>35800</v>
      </c>
      <c r="H346">
        <v>1</v>
      </c>
      <c r="I346" t="str">
        <f t="shared" si="17"/>
        <v>UPS</v>
      </c>
      <c r="J346">
        <v>2.33</v>
      </c>
      <c r="K346" t="s">
        <v>52</v>
      </c>
      <c r="L346" t="s">
        <v>328</v>
      </c>
      <c r="M346" t="s">
        <v>329</v>
      </c>
      <c r="N346" t="s">
        <v>330</v>
      </c>
      <c r="O346" t="s">
        <v>331</v>
      </c>
      <c r="P346" t="s">
        <v>113</v>
      </c>
    </row>
    <row r="347" spans="1:16" x14ac:dyDescent="0.25">
      <c r="A347">
        <v>10829</v>
      </c>
      <c r="B347" t="s">
        <v>326</v>
      </c>
      <c r="C347" s="1">
        <v>35808</v>
      </c>
      <c r="D347" s="1" t="str">
        <f t="shared" si="15"/>
        <v>jan</v>
      </c>
      <c r="E347" s="1" t="str">
        <f t="shared" si="16"/>
        <v>1998</v>
      </c>
      <c r="F347" s="1">
        <v>35836</v>
      </c>
      <c r="G347" s="1">
        <v>35818</v>
      </c>
      <c r="H347">
        <v>1</v>
      </c>
      <c r="I347" t="str">
        <f t="shared" si="17"/>
        <v>UPS</v>
      </c>
      <c r="J347">
        <v>154.72</v>
      </c>
      <c r="K347" t="s">
        <v>52</v>
      </c>
      <c r="L347" t="s">
        <v>328</v>
      </c>
      <c r="M347" t="s">
        <v>329</v>
      </c>
      <c r="N347" t="s">
        <v>330</v>
      </c>
      <c r="O347" t="s">
        <v>331</v>
      </c>
      <c r="P347" t="s">
        <v>113</v>
      </c>
    </row>
    <row r="348" spans="1:16" x14ac:dyDescent="0.25">
      <c r="A348">
        <v>10933</v>
      </c>
      <c r="B348" t="s">
        <v>326</v>
      </c>
      <c r="C348" s="1">
        <v>35860</v>
      </c>
      <c r="D348" s="1" t="str">
        <f t="shared" si="15"/>
        <v>mar</v>
      </c>
      <c r="E348" s="1" t="str">
        <f t="shared" si="16"/>
        <v>1998</v>
      </c>
      <c r="F348" s="1">
        <v>35888</v>
      </c>
      <c r="G348" s="1">
        <v>35870</v>
      </c>
      <c r="H348">
        <v>3</v>
      </c>
      <c r="I348" t="str">
        <f t="shared" si="17"/>
        <v>DHL</v>
      </c>
      <c r="J348">
        <v>54.15</v>
      </c>
      <c r="K348" t="s">
        <v>52</v>
      </c>
      <c r="L348" t="s">
        <v>328</v>
      </c>
      <c r="M348" t="s">
        <v>329</v>
      </c>
      <c r="N348" t="s">
        <v>330</v>
      </c>
      <c r="O348" t="s">
        <v>331</v>
      </c>
      <c r="P348" t="s">
        <v>113</v>
      </c>
    </row>
    <row r="349" spans="1:16" x14ac:dyDescent="0.25">
      <c r="A349">
        <v>10323</v>
      </c>
      <c r="B349" t="s">
        <v>333</v>
      </c>
      <c r="C349" s="1">
        <v>35345</v>
      </c>
      <c r="D349" s="1" t="str">
        <f t="shared" si="15"/>
        <v>out</v>
      </c>
      <c r="E349" s="1" t="str">
        <f t="shared" si="16"/>
        <v>1996</v>
      </c>
      <c r="F349" s="1">
        <v>35373</v>
      </c>
      <c r="G349" s="1">
        <v>35352</v>
      </c>
      <c r="H349">
        <v>1</v>
      </c>
      <c r="I349" t="str">
        <f t="shared" si="17"/>
        <v>UPS</v>
      </c>
      <c r="J349">
        <v>4.88</v>
      </c>
      <c r="K349" t="s">
        <v>51</v>
      </c>
      <c r="L349" t="s">
        <v>334</v>
      </c>
      <c r="M349" t="s">
        <v>335</v>
      </c>
      <c r="O349" t="s">
        <v>336</v>
      </c>
      <c r="P349" t="s">
        <v>94</v>
      </c>
    </row>
    <row r="350" spans="1:16" x14ac:dyDescent="0.25">
      <c r="A350">
        <v>10325</v>
      </c>
      <c r="B350" t="s">
        <v>333</v>
      </c>
      <c r="C350" s="1">
        <v>35347</v>
      </c>
      <c r="D350" s="1" t="str">
        <f t="shared" si="15"/>
        <v>out</v>
      </c>
      <c r="E350" s="1" t="str">
        <f t="shared" si="16"/>
        <v>1996</v>
      </c>
      <c r="F350" s="1">
        <v>35361</v>
      </c>
      <c r="G350" s="1">
        <v>35352</v>
      </c>
      <c r="H350">
        <v>3</v>
      </c>
      <c r="I350" t="str">
        <f t="shared" si="17"/>
        <v>DHL</v>
      </c>
      <c r="J350">
        <v>64.86</v>
      </c>
      <c r="K350" t="s">
        <v>51</v>
      </c>
      <c r="L350" t="s">
        <v>334</v>
      </c>
      <c r="M350" t="s">
        <v>335</v>
      </c>
      <c r="O350" t="s">
        <v>336</v>
      </c>
      <c r="P350" t="s">
        <v>94</v>
      </c>
    </row>
    <row r="351" spans="1:16" x14ac:dyDescent="0.25">
      <c r="A351">
        <v>10456</v>
      </c>
      <c r="B351" t="s">
        <v>333</v>
      </c>
      <c r="C351" s="1">
        <v>35486</v>
      </c>
      <c r="D351" s="1" t="str">
        <f t="shared" si="15"/>
        <v>fev</v>
      </c>
      <c r="E351" s="1" t="str">
        <f t="shared" si="16"/>
        <v>1997</v>
      </c>
      <c r="F351" s="1">
        <v>35528</v>
      </c>
      <c r="G351" s="1">
        <v>35489</v>
      </c>
      <c r="H351">
        <v>2</v>
      </c>
      <c r="I351" t="str">
        <f t="shared" si="17"/>
        <v>USPS</v>
      </c>
      <c r="J351">
        <v>8.1199999999999992</v>
      </c>
      <c r="K351" t="s">
        <v>51</v>
      </c>
      <c r="L351" t="s">
        <v>334</v>
      </c>
      <c r="M351" t="s">
        <v>335</v>
      </c>
      <c r="O351" t="s">
        <v>336</v>
      </c>
      <c r="P351" t="s">
        <v>94</v>
      </c>
    </row>
    <row r="352" spans="1:16" x14ac:dyDescent="0.25">
      <c r="A352">
        <v>10457</v>
      </c>
      <c r="B352" t="s">
        <v>333</v>
      </c>
      <c r="C352" s="1">
        <v>35486</v>
      </c>
      <c r="D352" s="1" t="str">
        <f t="shared" si="15"/>
        <v>fev</v>
      </c>
      <c r="E352" s="1" t="str">
        <f t="shared" si="16"/>
        <v>1997</v>
      </c>
      <c r="F352" s="1">
        <v>35514</v>
      </c>
      <c r="G352" s="1">
        <v>35492</v>
      </c>
      <c r="H352">
        <v>1</v>
      </c>
      <c r="I352" t="str">
        <f t="shared" si="17"/>
        <v>UPS</v>
      </c>
      <c r="J352">
        <v>11.57</v>
      </c>
      <c r="K352" t="s">
        <v>51</v>
      </c>
      <c r="L352" t="s">
        <v>334</v>
      </c>
      <c r="M352" t="s">
        <v>335</v>
      </c>
      <c r="O352" t="s">
        <v>336</v>
      </c>
      <c r="P352" t="s">
        <v>94</v>
      </c>
    </row>
    <row r="353" spans="1:16" x14ac:dyDescent="0.25">
      <c r="A353">
        <v>10468</v>
      </c>
      <c r="B353" t="s">
        <v>333</v>
      </c>
      <c r="C353" s="1">
        <v>35496</v>
      </c>
      <c r="D353" s="1" t="str">
        <f t="shared" si="15"/>
        <v>mar</v>
      </c>
      <c r="E353" s="1" t="str">
        <f t="shared" si="16"/>
        <v>1997</v>
      </c>
      <c r="F353" s="1">
        <v>35524</v>
      </c>
      <c r="G353" s="1">
        <v>35501</v>
      </c>
      <c r="H353">
        <v>3</v>
      </c>
      <c r="I353" t="str">
        <f t="shared" si="17"/>
        <v>DHL</v>
      </c>
      <c r="J353">
        <v>44.12</v>
      </c>
      <c r="K353" t="s">
        <v>51</v>
      </c>
      <c r="L353" t="s">
        <v>334</v>
      </c>
      <c r="M353" t="s">
        <v>335</v>
      </c>
      <c r="O353" t="s">
        <v>336</v>
      </c>
      <c r="P353" t="s">
        <v>94</v>
      </c>
    </row>
    <row r="354" spans="1:16" x14ac:dyDescent="0.25">
      <c r="A354">
        <v>10506</v>
      </c>
      <c r="B354" t="s">
        <v>333</v>
      </c>
      <c r="C354" s="1">
        <v>35535</v>
      </c>
      <c r="D354" s="1" t="str">
        <f t="shared" si="15"/>
        <v>abr</v>
      </c>
      <c r="E354" s="1" t="str">
        <f t="shared" si="16"/>
        <v>1997</v>
      </c>
      <c r="F354" s="1">
        <v>35563</v>
      </c>
      <c r="G354" s="1">
        <v>35552</v>
      </c>
      <c r="H354">
        <v>2</v>
      </c>
      <c r="I354" t="str">
        <f t="shared" si="17"/>
        <v>USPS</v>
      </c>
      <c r="J354">
        <v>21.19</v>
      </c>
      <c r="K354" t="s">
        <v>51</v>
      </c>
      <c r="L354" t="s">
        <v>334</v>
      </c>
      <c r="M354" t="s">
        <v>335</v>
      </c>
      <c r="O354" t="s">
        <v>336</v>
      </c>
      <c r="P354" t="s">
        <v>94</v>
      </c>
    </row>
    <row r="355" spans="1:16" x14ac:dyDescent="0.25">
      <c r="A355">
        <v>10542</v>
      </c>
      <c r="B355" t="s">
        <v>333</v>
      </c>
      <c r="C355" s="1">
        <v>35570</v>
      </c>
      <c r="D355" s="1" t="str">
        <f t="shared" si="15"/>
        <v>mai</v>
      </c>
      <c r="E355" s="1" t="str">
        <f t="shared" si="16"/>
        <v>1997</v>
      </c>
      <c r="F355" s="1">
        <v>35598</v>
      </c>
      <c r="G355" s="1">
        <v>35576</v>
      </c>
      <c r="H355">
        <v>3</v>
      </c>
      <c r="I355" t="str">
        <f t="shared" si="17"/>
        <v>DHL</v>
      </c>
      <c r="J355">
        <v>10.95</v>
      </c>
      <c r="K355" t="s">
        <v>51</v>
      </c>
      <c r="L355" t="s">
        <v>334</v>
      </c>
      <c r="M355" t="s">
        <v>335</v>
      </c>
      <c r="O355" t="s">
        <v>336</v>
      </c>
      <c r="P355" t="s">
        <v>94</v>
      </c>
    </row>
    <row r="356" spans="1:16" x14ac:dyDescent="0.25">
      <c r="A356">
        <v>10630</v>
      </c>
      <c r="B356" t="s">
        <v>333</v>
      </c>
      <c r="C356" s="1">
        <v>35655</v>
      </c>
      <c r="D356" s="1" t="str">
        <f t="shared" si="15"/>
        <v>ago</v>
      </c>
      <c r="E356" s="1" t="str">
        <f t="shared" si="16"/>
        <v>1997</v>
      </c>
      <c r="F356" s="1">
        <v>35683</v>
      </c>
      <c r="G356" s="1">
        <v>35661</v>
      </c>
      <c r="H356">
        <v>2</v>
      </c>
      <c r="I356" t="str">
        <f t="shared" si="17"/>
        <v>USPS</v>
      </c>
      <c r="J356">
        <v>32.35</v>
      </c>
      <c r="K356" t="s">
        <v>51</v>
      </c>
      <c r="L356" t="s">
        <v>334</v>
      </c>
      <c r="M356" t="s">
        <v>335</v>
      </c>
      <c r="O356" t="s">
        <v>336</v>
      </c>
      <c r="P356" t="s">
        <v>94</v>
      </c>
    </row>
    <row r="357" spans="1:16" x14ac:dyDescent="0.25">
      <c r="A357">
        <v>10718</v>
      </c>
      <c r="B357" t="s">
        <v>333</v>
      </c>
      <c r="C357" s="1">
        <v>35730</v>
      </c>
      <c r="D357" s="1" t="str">
        <f t="shared" si="15"/>
        <v>out</v>
      </c>
      <c r="E357" s="1" t="str">
        <f t="shared" si="16"/>
        <v>1997</v>
      </c>
      <c r="F357" s="1">
        <v>35758</v>
      </c>
      <c r="G357" s="1">
        <v>35732</v>
      </c>
      <c r="H357">
        <v>3</v>
      </c>
      <c r="I357" t="str">
        <f t="shared" si="17"/>
        <v>DHL</v>
      </c>
      <c r="J357">
        <v>170.88</v>
      </c>
      <c r="K357" t="s">
        <v>51</v>
      </c>
      <c r="L357" t="s">
        <v>334</v>
      </c>
      <c r="M357" t="s">
        <v>335</v>
      </c>
      <c r="O357" t="s">
        <v>336</v>
      </c>
      <c r="P357" t="s">
        <v>94</v>
      </c>
    </row>
    <row r="358" spans="1:16" x14ac:dyDescent="0.25">
      <c r="A358">
        <v>10799</v>
      </c>
      <c r="B358" t="s">
        <v>333</v>
      </c>
      <c r="C358" s="1">
        <v>35790</v>
      </c>
      <c r="D358" s="1" t="str">
        <f t="shared" si="15"/>
        <v>dez</v>
      </c>
      <c r="E358" s="1" t="str">
        <f t="shared" si="16"/>
        <v>1997</v>
      </c>
      <c r="F358" s="1">
        <v>35832</v>
      </c>
      <c r="G358" s="1">
        <v>35800</v>
      </c>
      <c r="H358">
        <v>3</v>
      </c>
      <c r="I358" t="str">
        <f t="shared" si="17"/>
        <v>DHL</v>
      </c>
      <c r="J358">
        <v>30.76</v>
      </c>
      <c r="K358" t="s">
        <v>51</v>
      </c>
      <c r="L358" t="s">
        <v>334</v>
      </c>
      <c r="M358" t="s">
        <v>335</v>
      </c>
      <c r="O358" t="s">
        <v>336</v>
      </c>
      <c r="P358" t="s">
        <v>94</v>
      </c>
    </row>
    <row r="359" spans="1:16" x14ac:dyDescent="0.25">
      <c r="A359">
        <v>10817</v>
      </c>
      <c r="B359" t="s">
        <v>333</v>
      </c>
      <c r="C359" s="1">
        <v>35801</v>
      </c>
      <c r="D359" s="1" t="str">
        <f t="shared" si="15"/>
        <v>jan</v>
      </c>
      <c r="E359" s="1" t="str">
        <f t="shared" si="16"/>
        <v>1998</v>
      </c>
      <c r="F359" s="1">
        <v>35815</v>
      </c>
      <c r="G359" s="1">
        <v>35808</v>
      </c>
      <c r="H359">
        <v>2</v>
      </c>
      <c r="I359" t="str">
        <f t="shared" si="17"/>
        <v>USPS</v>
      </c>
      <c r="J359">
        <v>306.07</v>
      </c>
      <c r="K359" t="s">
        <v>51</v>
      </c>
      <c r="L359" t="s">
        <v>334</v>
      </c>
      <c r="M359" t="s">
        <v>335</v>
      </c>
      <c r="O359" t="s">
        <v>336</v>
      </c>
      <c r="P359" t="s">
        <v>94</v>
      </c>
    </row>
    <row r="360" spans="1:16" x14ac:dyDescent="0.25">
      <c r="A360">
        <v>10849</v>
      </c>
      <c r="B360" t="s">
        <v>333</v>
      </c>
      <c r="C360" s="1">
        <v>35818</v>
      </c>
      <c r="D360" s="1" t="str">
        <f t="shared" si="15"/>
        <v>jan</v>
      </c>
      <c r="E360" s="1" t="str">
        <f t="shared" si="16"/>
        <v>1998</v>
      </c>
      <c r="F360" s="1">
        <v>35846</v>
      </c>
      <c r="G360" s="1">
        <v>35825</v>
      </c>
      <c r="H360">
        <v>2</v>
      </c>
      <c r="I360" t="str">
        <f t="shared" si="17"/>
        <v>USPS</v>
      </c>
      <c r="J360">
        <v>0.56000000000000005</v>
      </c>
      <c r="K360" t="s">
        <v>51</v>
      </c>
      <c r="L360" t="s">
        <v>334</v>
      </c>
      <c r="M360" t="s">
        <v>335</v>
      </c>
      <c r="O360" t="s">
        <v>336</v>
      </c>
      <c r="P360" t="s">
        <v>94</v>
      </c>
    </row>
    <row r="361" spans="1:16" x14ac:dyDescent="0.25">
      <c r="A361">
        <v>10893</v>
      </c>
      <c r="B361" t="s">
        <v>333</v>
      </c>
      <c r="C361" s="1">
        <v>35844</v>
      </c>
      <c r="D361" s="1" t="str">
        <f t="shared" si="15"/>
        <v>fev</v>
      </c>
      <c r="E361" s="1" t="str">
        <f t="shared" si="16"/>
        <v>1998</v>
      </c>
      <c r="F361" s="1">
        <v>35872</v>
      </c>
      <c r="G361" s="1">
        <v>35846</v>
      </c>
      <c r="H361">
        <v>2</v>
      </c>
      <c r="I361" t="str">
        <f t="shared" si="17"/>
        <v>USPS</v>
      </c>
      <c r="J361">
        <v>77.78</v>
      </c>
      <c r="K361" t="s">
        <v>51</v>
      </c>
      <c r="L361" t="s">
        <v>334</v>
      </c>
      <c r="M361" t="s">
        <v>335</v>
      </c>
      <c r="O361" t="s">
        <v>336</v>
      </c>
      <c r="P361" t="s">
        <v>94</v>
      </c>
    </row>
    <row r="362" spans="1:16" x14ac:dyDescent="0.25">
      <c r="A362">
        <v>11028</v>
      </c>
      <c r="B362" t="s">
        <v>333</v>
      </c>
      <c r="C362" s="1">
        <v>35901</v>
      </c>
      <c r="D362" s="1" t="str">
        <f t="shared" si="15"/>
        <v>abr</v>
      </c>
      <c r="E362" s="1" t="str">
        <f t="shared" si="16"/>
        <v>1998</v>
      </c>
      <c r="F362" s="1">
        <v>35929</v>
      </c>
      <c r="G362" s="1">
        <v>35907</v>
      </c>
      <c r="H362">
        <v>1</v>
      </c>
      <c r="I362" t="str">
        <f t="shared" si="17"/>
        <v>UPS</v>
      </c>
      <c r="J362">
        <v>29.59</v>
      </c>
      <c r="K362" t="s">
        <v>51</v>
      </c>
      <c r="L362" t="s">
        <v>334</v>
      </c>
      <c r="M362" t="s">
        <v>335</v>
      </c>
      <c r="O362" t="s">
        <v>336</v>
      </c>
      <c r="P362" t="s">
        <v>94</v>
      </c>
    </row>
    <row r="363" spans="1:16" x14ac:dyDescent="0.25">
      <c r="A363">
        <v>10858</v>
      </c>
      <c r="B363" t="s">
        <v>338</v>
      </c>
      <c r="C363" s="1">
        <v>35824</v>
      </c>
      <c r="D363" s="1" t="str">
        <f t="shared" si="15"/>
        <v>jan</v>
      </c>
      <c r="E363" s="1" t="str">
        <f t="shared" si="16"/>
        <v>1998</v>
      </c>
      <c r="F363" s="1">
        <v>35852</v>
      </c>
      <c r="G363" s="1">
        <v>35829</v>
      </c>
      <c r="H363">
        <v>1</v>
      </c>
      <c r="I363" t="str">
        <f t="shared" si="17"/>
        <v>UPS</v>
      </c>
      <c r="J363">
        <v>52.51</v>
      </c>
      <c r="K363" t="s">
        <v>50</v>
      </c>
      <c r="L363" t="s">
        <v>340</v>
      </c>
      <c r="M363" t="s">
        <v>341</v>
      </c>
      <c r="O363" t="s">
        <v>342</v>
      </c>
      <c r="P363" t="s">
        <v>134</v>
      </c>
    </row>
    <row r="364" spans="1:16" x14ac:dyDescent="0.25">
      <c r="A364">
        <v>10927</v>
      </c>
      <c r="B364" t="s">
        <v>338</v>
      </c>
      <c r="C364" s="1">
        <v>35859</v>
      </c>
      <c r="D364" s="1" t="str">
        <f t="shared" si="15"/>
        <v>mar</v>
      </c>
      <c r="E364" s="1" t="str">
        <f t="shared" si="16"/>
        <v>1998</v>
      </c>
      <c r="F364" s="1">
        <v>35887</v>
      </c>
      <c r="G364" s="1">
        <v>35893</v>
      </c>
      <c r="H364">
        <v>1</v>
      </c>
      <c r="I364" t="str">
        <f t="shared" si="17"/>
        <v>UPS</v>
      </c>
      <c r="J364">
        <v>19.79</v>
      </c>
      <c r="K364" t="s">
        <v>50</v>
      </c>
      <c r="L364" t="s">
        <v>340</v>
      </c>
      <c r="M364" t="s">
        <v>341</v>
      </c>
      <c r="O364" t="s">
        <v>342</v>
      </c>
      <c r="P364" t="s">
        <v>134</v>
      </c>
    </row>
    <row r="365" spans="1:16" x14ac:dyDescent="0.25">
      <c r="A365">
        <v>10972</v>
      </c>
      <c r="B365" t="s">
        <v>338</v>
      </c>
      <c r="C365" s="1">
        <v>35878</v>
      </c>
      <c r="D365" s="1" t="str">
        <f t="shared" si="15"/>
        <v>mar</v>
      </c>
      <c r="E365" s="1" t="str">
        <f t="shared" si="16"/>
        <v>1998</v>
      </c>
      <c r="F365" s="1">
        <v>35906</v>
      </c>
      <c r="G365" s="1">
        <v>35880</v>
      </c>
      <c r="H365">
        <v>2</v>
      </c>
      <c r="I365" t="str">
        <f t="shared" si="17"/>
        <v>USPS</v>
      </c>
      <c r="J365">
        <v>0.02</v>
      </c>
      <c r="K365" t="s">
        <v>50</v>
      </c>
      <c r="L365" t="s">
        <v>340</v>
      </c>
      <c r="M365" t="s">
        <v>341</v>
      </c>
      <c r="O365" t="s">
        <v>342</v>
      </c>
      <c r="P365" t="s">
        <v>134</v>
      </c>
    </row>
    <row r="366" spans="1:16" x14ac:dyDescent="0.25">
      <c r="A366">
        <v>10973</v>
      </c>
      <c r="B366" t="s">
        <v>338</v>
      </c>
      <c r="C366" s="1">
        <v>35878</v>
      </c>
      <c r="D366" s="1" t="str">
        <f t="shared" si="15"/>
        <v>mar</v>
      </c>
      <c r="E366" s="1" t="str">
        <f t="shared" si="16"/>
        <v>1998</v>
      </c>
      <c r="F366" s="1">
        <v>35906</v>
      </c>
      <c r="G366" s="1">
        <v>35881</v>
      </c>
      <c r="H366">
        <v>2</v>
      </c>
      <c r="I366" t="str">
        <f t="shared" si="17"/>
        <v>USPS</v>
      </c>
      <c r="J366">
        <v>15.17</v>
      </c>
      <c r="K366" t="s">
        <v>50</v>
      </c>
      <c r="L366" t="s">
        <v>340</v>
      </c>
      <c r="M366" t="s">
        <v>341</v>
      </c>
      <c r="O366" t="s">
        <v>342</v>
      </c>
      <c r="P366" t="s">
        <v>134</v>
      </c>
    </row>
    <row r="367" spans="1:16" x14ac:dyDescent="0.25">
      <c r="A367">
        <v>10350</v>
      </c>
      <c r="B367" t="s">
        <v>344</v>
      </c>
      <c r="C367" s="1">
        <v>35380</v>
      </c>
      <c r="D367" s="1" t="str">
        <f t="shared" si="15"/>
        <v>nov</v>
      </c>
      <c r="E367" s="1" t="str">
        <f t="shared" si="16"/>
        <v>1996</v>
      </c>
      <c r="F367" s="1">
        <v>35408</v>
      </c>
      <c r="G367" s="1">
        <v>35402</v>
      </c>
      <c r="H367">
        <v>2</v>
      </c>
      <c r="I367" t="str">
        <f t="shared" si="17"/>
        <v>USPS</v>
      </c>
      <c r="J367">
        <v>64.19</v>
      </c>
      <c r="K367" t="s">
        <v>49</v>
      </c>
      <c r="L367" t="s">
        <v>346</v>
      </c>
      <c r="M367" t="s">
        <v>347</v>
      </c>
      <c r="O367" t="s">
        <v>348</v>
      </c>
      <c r="P367" t="s">
        <v>134</v>
      </c>
    </row>
    <row r="368" spans="1:16" x14ac:dyDescent="0.25">
      <c r="A368">
        <v>10358</v>
      </c>
      <c r="B368" t="s">
        <v>344</v>
      </c>
      <c r="C368" s="1">
        <v>35389</v>
      </c>
      <c r="D368" s="1" t="str">
        <f t="shared" si="15"/>
        <v>nov</v>
      </c>
      <c r="E368" s="1" t="str">
        <f t="shared" si="16"/>
        <v>1996</v>
      </c>
      <c r="F368" s="1">
        <v>35417</v>
      </c>
      <c r="G368" s="1">
        <v>35396</v>
      </c>
      <c r="H368">
        <v>1</v>
      </c>
      <c r="I368" t="str">
        <f t="shared" si="17"/>
        <v>UPS</v>
      </c>
      <c r="J368">
        <v>19.64</v>
      </c>
      <c r="K368" t="s">
        <v>49</v>
      </c>
      <c r="L368" t="s">
        <v>346</v>
      </c>
      <c r="M368" t="s">
        <v>347</v>
      </c>
      <c r="O368" t="s">
        <v>348</v>
      </c>
      <c r="P368" t="s">
        <v>134</v>
      </c>
    </row>
    <row r="369" spans="1:16" x14ac:dyDescent="0.25">
      <c r="A369">
        <v>10371</v>
      </c>
      <c r="B369" t="s">
        <v>344</v>
      </c>
      <c r="C369" s="1">
        <v>35402</v>
      </c>
      <c r="D369" s="1" t="str">
        <f t="shared" si="15"/>
        <v>dez</v>
      </c>
      <c r="E369" s="1" t="str">
        <f t="shared" si="16"/>
        <v>1996</v>
      </c>
      <c r="F369" s="1">
        <v>35430</v>
      </c>
      <c r="G369" s="1">
        <v>35423</v>
      </c>
      <c r="H369">
        <v>1</v>
      </c>
      <c r="I369" t="str">
        <f t="shared" si="17"/>
        <v>UPS</v>
      </c>
      <c r="J369">
        <v>0.45</v>
      </c>
      <c r="K369" t="s">
        <v>49</v>
      </c>
      <c r="L369" t="s">
        <v>346</v>
      </c>
      <c r="M369" t="s">
        <v>347</v>
      </c>
      <c r="O369" t="s">
        <v>348</v>
      </c>
      <c r="P369" t="s">
        <v>134</v>
      </c>
    </row>
    <row r="370" spans="1:16" x14ac:dyDescent="0.25">
      <c r="A370">
        <v>10413</v>
      </c>
      <c r="B370" t="s">
        <v>344</v>
      </c>
      <c r="C370" s="1">
        <v>35444</v>
      </c>
      <c r="D370" s="1" t="str">
        <f t="shared" si="15"/>
        <v>jan</v>
      </c>
      <c r="E370" s="1" t="str">
        <f t="shared" si="16"/>
        <v>1997</v>
      </c>
      <c r="F370" s="1">
        <v>35472</v>
      </c>
      <c r="G370" s="1">
        <v>35446</v>
      </c>
      <c r="H370">
        <v>2</v>
      </c>
      <c r="I370" t="str">
        <f t="shared" si="17"/>
        <v>USPS</v>
      </c>
      <c r="J370">
        <v>95.66</v>
      </c>
      <c r="K370" t="s">
        <v>49</v>
      </c>
      <c r="L370" t="s">
        <v>346</v>
      </c>
      <c r="M370" t="s">
        <v>347</v>
      </c>
      <c r="O370" t="s">
        <v>348</v>
      </c>
      <c r="P370" t="s">
        <v>134</v>
      </c>
    </row>
    <row r="371" spans="1:16" x14ac:dyDescent="0.25">
      <c r="A371">
        <v>10425</v>
      </c>
      <c r="B371" t="s">
        <v>344</v>
      </c>
      <c r="C371" s="1">
        <v>35454</v>
      </c>
      <c r="D371" s="1" t="str">
        <f t="shared" si="15"/>
        <v>jan</v>
      </c>
      <c r="E371" s="1" t="str">
        <f t="shared" si="16"/>
        <v>1997</v>
      </c>
      <c r="F371" s="1">
        <v>35482</v>
      </c>
      <c r="G371" s="1">
        <v>35475</v>
      </c>
      <c r="H371">
        <v>2</v>
      </c>
      <c r="I371" t="str">
        <f t="shared" si="17"/>
        <v>USPS</v>
      </c>
      <c r="J371">
        <v>7.93</v>
      </c>
      <c r="K371" t="s">
        <v>49</v>
      </c>
      <c r="L371" t="s">
        <v>346</v>
      </c>
      <c r="M371" t="s">
        <v>347</v>
      </c>
      <c r="O371" t="s">
        <v>348</v>
      </c>
      <c r="P371" t="s">
        <v>134</v>
      </c>
    </row>
    <row r="372" spans="1:16" x14ac:dyDescent="0.25">
      <c r="A372">
        <v>10454</v>
      </c>
      <c r="B372" t="s">
        <v>344</v>
      </c>
      <c r="C372" s="1">
        <v>35482</v>
      </c>
      <c r="D372" s="1" t="str">
        <f t="shared" si="15"/>
        <v>fev</v>
      </c>
      <c r="E372" s="1" t="str">
        <f t="shared" si="16"/>
        <v>1997</v>
      </c>
      <c r="F372" s="1">
        <v>35510</v>
      </c>
      <c r="G372" s="1">
        <v>35486</v>
      </c>
      <c r="H372">
        <v>3</v>
      </c>
      <c r="I372" t="str">
        <f t="shared" si="17"/>
        <v>DHL</v>
      </c>
      <c r="J372">
        <v>2.74</v>
      </c>
      <c r="K372" t="s">
        <v>49</v>
      </c>
      <c r="L372" t="s">
        <v>346</v>
      </c>
      <c r="M372" t="s">
        <v>347</v>
      </c>
      <c r="O372" t="s">
        <v>348</v>
      </c>
      <c r="P372" t="s">
        <v>134</v>
      </c>
    </row>
    <row r="373" spans="1:16" x14ac:dyDescent="0.25">
      <c r="A373">
        <v>10493</v>
      </c>
      <c r="B373" t="s">
        <v>344</v>
      </c>
      <c r="C373" s="1">
        <v>35522</v>
      </c>
      <c r="D373" s="1" t="str">
        <f t="shared" si="15"/>
        <v>abr</v>
      </c>
      <c r="E373" s="1" t="str">
        <f t="shared" si="16"/>
        <v>1997</v>
      </c>
      <c r="F373" s="1">
        <v>35550</v>
      </c>
      <c r="G373" s="1">
        <v>35530</v>
      </c>
      <c r="H373">
        <v>3</v>
      </c>
      <c r="I373" t="str">
        <f t="shared" si="17"/>
        <v>DHL</v>
      </c>
      <c r="J373">
        <v>10.64</v>
      </c>
      <c r="K373" t="s">
        <v>49</v>
      </c>
      <c r="L373" t="s">
        <v>346</v>
      </c>
      <c r="M373" t="s">
        <v>347</v>
      </c>
      <c r="O373" t="s">
        <v>348</v>
      </c>
      <c r="P373" t="s">
        <v>134</v>
      </c>
    </row>
    <row r="374" spans="1:16" x14ac:dyDescent="0.25">
      <c r="A374">
        <v>10500</v>
      </c>
      <c r="B374" t="s">
        <v>344</v>
      </c>
      <c r="C374" s="1">
        <v>35529</v>
      </c>
      <c r="D374" s="1" t="str">
        <f t="shared" si="15"/>
        <v>abr</v>
      </c>
      <c r="E374" s="1" t="str">
        <f t="shared" si="16"/>
        <v>1997</v>
      </c>
      <c r="F374" s="1">
        <v>35557</v>
      </c>
      <c r="G374" s="1">
        <v>35537</v>
      </c>
      <c r="H374">
        <v>1</v>
      </c>
      <c r="I374" t="str">
        <f t="shared" si="17"/>
        <v>UPS</v>
      </c>
      <c r="J374">
        <v>42.68</v>
      </c>
      <c r="K374" t="s">
        <v>49</v>
      </c>
      <c r="L374" t="s">
        <v>346</v>
      </c>
      <c r="M374" t="s">
        <v>347</v>
      </c>
      <c r="O374" t="s">
        <v>348</v>
      </c>
      <c r="P374" t="s">
        <v>134</v>
      </c>
    </row>
    <row r="375" spans="1:16" x14ac:dyDescent="0.25">
      <c r="A375">
        <v>10610</v>
      </c>
      <c r="B375" t="s">
        <v>344</v>
      </c>
      <c r="C375" s="1">
        <v>35636</v>
      </c>
      <c r="D375" s="1" t="str">
        <f t="shared" si="15"/>
        <v>jul</v>
      </c>
      <c r="E375" s="1" t="str">
        <f t="shared" si="16"/>
        <v>1997</v>
      </c>
      <c r="F375" s="1">
        <v>35664</v>
      </c>
      <c r="G375" s="1">
        <v>35648</v>
      </c>
      <c r="H375">
        <v>1</v>
      </c>
      <c r="I375" t="str">
        <f t="shared" si="17"/>
        <v>UPS</v>
      </c>
      <c r="J375">
        <v>26.78</v>
      </c>
      <c r="K375" t="s">
        <v>49</v>
      </c>
      <c r="L375" t="s">
        <v>346</v>
      </c>
      <c r="M375" t="s">
        <v>347</v>
      </c>
      <c r="O375" t="s">
        <v>348</v>
      </c>
      <c r="P375" t="s">
        <v>134</v>
      </c>
    </row>
    <row r="376" spans="1:16" x14ac:dyDescent="0.25">
      <c r="A376">
        <v>10631</v>
      </c>
      <c r="B376" t="s">
        <v>344</v>
      </c>
      <c r="C376" s="1">
        <v>35656</v>
      </c>
      <c r="D376" s="1" t="str">
        <f t="shared" si="15"/>
        <v>ago</v>
      </c>
      <c r="E376" s="1" t="str">
        <f t="shared" si="16"/>
        <v>1997</v>
      </c>
      <c r="F376" s="1">
        <v>35684</v>
      </c>
      <c r="G376" s="1">
        <v>35657</v>
      </c>
      <c r="H376">
        <v>1</v>
      </c>
      <c r="I376" t="str">
        <f t="shared" si="17"/>
        <v>UPS</v>
      </c>
      <c r="J376">
        <v>0.87</v>
      </c>
      <c r="K376" t="s">
        <v>49</v>
      </c>
      <c r="L376" t="s">
        <v>346</v>
      </c>
      <c r="M376" t="s">
        <v>347</v>
      </c>
      <c r="O376" t="s">
        <v>348</v>
      </c>
      <c r="P376" t="s">
        <v>134</v>
      </c>
    </row>
    <row r="377" spans="1:16" x14ac:dyDescent="0.25">
      <c r="A377">
        <v>10787</v>
      </c>
      <c r="B377" t="s">
        <v>344</v>
      </c>
      <c r="C377" s="1">
        <v>35783</v>
      </c>
      <c r="D377" s="1" t="str">
        <f t="shared" si="15"/>
        <v>dez</v>
      </c>
      <c r="E377" s="1" t="str">
        <f t="shared" si="16"/>
        <v>1997</v>
      </c>
      <c r="F377" s="1">
        <v>35797</v>
      </c>
      <c r="G377" s="1">
        <v>35790</v>
      </c>
      <c r="H377">
        <v>1</v>
      </c>
      <c r="I377" t="str">
        <f t="shared" si="17"/>
        <v>UPS</v>
      </c>
      <c r="J377">
        <v>249.93</v>
      </c>
      <c r="K377" t="s">
        <v>49</v>
      </c>
      <c r="L377" t="s">
        <v>346</v>
      </c>
      <c r="M377" t="s">
        <v>347</v>
      </c>
      <c r="O377" t="s">
        <v>348</v>
      </c>
      <c r="P377" t="s">
        <v>134</v>
      </c>
    </row>
    <row r="378" spans="1:16" x14ac:dyDescent="0.25">
      <c r="A378">
        <v>10832</v>
      </c>
      <c r="B378" t="s">
        <v>344</v>
      </c>
      <c r="C378" s="1">
        <v>35809</v>
      </c>
      <c r="D378" s="1" t="str">
        <f t="shared" si="15"/>
        <v>jan</v>
      </c>
      <c r="E378" s="1" t="str">
        <f t="shared" si="16"/>
        <v>1998</v>
      </c>
      <c r="F378" s="1">
        <v>35837</v>
      </c>
      <c r="G378" s="1">
        <v>35814</v>
      </c>
      <c r="H378">
        <v>2</v>
      </c>
      <c r="I378" t="str">
        <f t="shared" si="17"/>
        <v>USPS</v>
      </c>
      <c r="J378">
        <v>43.26</v>
      </c>
      <c r="K378" t="s">
        <v>49</v>
      </c>
      <c r="L378" t="s">
        <v>346</v>
      </c>
      <c r="M378" t="s">
        <v>347</v>
      </c>
      <c r="O378" t="s">
        <v>348</v>
      </c>
      <c r="P378" t="s">
        <v>134</v>
      </c>
    </row>
    <row r="379" spans="1:16" x14ac:dyDescent="0.25">
      <c r="A379">
        <v>10923</v>
      </c>
      <c r="B379" t="s">
        <v>344</v>
      </c>
      <c r="C379" s="1">
        <v>35857</v>
      </c>
      <c r="D379" s="1" t="str">
        <f t="shared" si="15"/>
        <v>mar</v>
      </c>
      <c r="E379" s="1" t="str">
        <f t="shared" si="16"/>
        <v>1998</v>
      </c>
      <c r="F379" s="1">
        <v>35899</v>
      </c>
      <c r="G379" s="1">
        <v>35867</v>
      </c>
      <c r="H379">
        <v>3</v>
      </c>
      <c r="I379" t="str">
        <f t="shared" si="17"/>
        <v>DHL</v>
      </c>
      <c r="J379">
        <v>68.260000000000005</v>
      </c>
      <c r="K379" t="s">
        <v>49</v>
      </c>
      <c r="L379" t="s">
        <v>346</v>
      </c>
      <c r="M379" t="s">
        <v>347</v>
      </c>
      <c r="O379" t="s">
        <v>348</v>
      </c>
      <c r="P379" t="s">
        <v>134</v>
      </c>
    </row>
    <row r="380" spans="1:16" x14ac:dyDescent="0.25">
      <c r="A380">
        <v>11051</v>
      </c>
      <c r="B380" t="s">
        <v>344</v>
      </c>
      <c r="C380" s="1">
        <v>35912</v>
      </c>
      <c r="D380" s="1" t="str">
        <f t="shared" si="15"/>
        <v>abr</v>
      </c>
      <c r="E380" s="1" t="str">
        <f t="shared" si="16"/>
        <v>1998</v>
      </c>
      <c r="F380" s="1">
        <v>35940</v>
      </c>
      <c r="G380" s="1"/>
      <c r="H380">
        <v>3</v>
      </c>
      <c r="I380" t="str">
        <f t="shared" si="17"/>
        <v>DHL</v>
      </c>
      <c r="J380">
        <v>2.79</v>
      </c>
      <c r="K380" t="s">
        <v>49</v>
      </c>
      <c r="L380" t="s">
        <v>346</v>
      </c>
      <c r="M380" t="s">
        <v>347</v>
      </c>
      <c r="O380" t="s">
        <v>348</v>
      </c>
      <c r="P380" t="s">
        <v>134</v>
      </c>
    </row>
    <row r="381" spans="1:16" x14ac:dyDescent="0.25">
      <c r="A381">
        <v>10495</v>
      </c>
      <c r="B381" t="s">
        <v>350</v>
      </c>
      <c r="C381" s="1">
        <v>35523</v>
      </c>
      <c r="D381" s="1" t="str">
        <f t="shared" si="15"/>
        <v>abr</v>
      </c>
      <c r="E381" s="1" t="str">
        <f t="shared" si="16"/>
        <v>1997</v>
      </c>
      <c r="F381" s="1">
        <v>35551</v>
      </c>
      <c r="G381" s="1">
        <v>35531</v>
      </c>
      <c r="H381">
        <v>3</v>
      </c>
      <c r="I381" t="str">
        <f t="shared" si="17"/>
        <v>DHL</v>
      </c>
      <c r="J381">
        <v>4.6500000000000004</v>
      </c>
      <c r="K381" t="s">
        <v>48</v>
      </c>
      <c r="L381" t="s">
        <v>666</v>
      </c>
      <c r="M381" t="s">
        <v>353</v>
      </c>
      <c r="N381" t="s">
        <v>154</v>
      </c>
      <c r="O381" t="s">
        <v>354</v>
      </c>
      <c r="P381" t="s">
        <v>156</v>
      </c>
    </row>
    <row r="382" spans="1:16" x14ac:dyDescent="0.25">
      <c r="A382">
        <v>10620</v>
      </c>
      <c r="B382" t="s">
        <v>350</v>
      </c>
      <c r="C382" s="1">
        <v>35647</v>
      </c>
      <c r="D382" s="1" t="str">
        <f t="shared" si="15"/>
        <v>ago</v>
      </c>
      <c r="E382" s="1" t="str">
        <f t="shared" si="16"/>
        <v>1997</v>
      </c>
      <c r="F382" s="1">
        <v>35675</v>
      </c>
      <c r="G382" s="1">
        <v>35656</v>
      </c>
      <c r="H382">
        <v>3</v>
      </c>
      <c r="I382" t="str">
        <f t="shared" si="17"/>
        <v>DHL</v>
      </c>
      <c r="J382">
        <v>0.94</v>
      </c>
      <c r="K382" t="s">
        <v>48</v>
      </c>
      <c r="L382" t="s">
        <v>666</v>
      </c>
      <c r="M382" t="s">
        <v>353</v>
      </c>
      <c r="N382" t="s">
        <v>154</v>
      </c>
      <c r="O382" t="s">
        <v>354</v>
      </c>
      <c r="P382" t="s">
        <v>156</v>
      </c>
    </row>
    <row r="383" spans="1:16" x14ac:dyDescent="0.25">
      <c r="A383">
        <v>10810</v>
      </c>
      <c r="B383" t="s">
        <v>350</v>
      </c>
      <c r="C383" s="1">
        <v>35796</v>
      </c>
      <c r="D383" s="1" t="str">
        <f t="shared" si="15"/>
        <v>jan</v>
      </c>
      <c r="E383" s="1" t="str">
        <f t="shared" si="16"/>
        <v>1998</v>
      </c>
      <c r="F383" s="1">
        <v>35824</v>
      </c>
      <c r="G383" s="1">
        <v>35802</v>
      </c>
      <c r="H383">
        <v>3</v>
      </c>
      <c r="I383" t="str">
        <f t="shared" si="17"/>
        <v>DHL</v>
      </c>
      <c r="J383">
        <v>4.33</v>
      </c>
      <c r="K383" t="s">
        <v>48</v>
      </c>
      <c r="L383" t="s">
        <v>666</v>
      </c>
      <c r="M383" t="s">
        <v>353</v>
      </c>
      <c r="N383" t="s">
        <v>154</v>
      </c>
      <c r="O383" t="s">
        <v>354</v>
      </c>
      <c r="P383" t="s">
        <v>156</v>
      </c>
    </row>
    <row r="384" spans="1:16" x14ac:dyDescent="0.25">
      <c r="A384">
        <v>10482</v>
      </c>
      <c r="B384" t="s">
        <v>356</v>
      </c>
      <c r="C384" s="1">
        <v>35510</v>
      </c>
      <c r="D384" s="1" t="str">
        <f t="shared" si="15"/>
        <v>mar</v>
      </c>
      <c r="E384" s="1" t="str">
        <f t="shared" si="16"/>
        <v>1997</v>
      </c>
      <c r="F384" s="1">
        <v>35538</v>
      </c>
      <c r="G384" s="1">
        <v>35530</v>
      </c>
      <c r="H384">
        <v>3</v>
      </c>
      <c r="I384" t="str">
        <f t="shared" si="17"/>
        <v>DHL</v>
      </c>
      <c r="J384">
        <v>7.48</v>
      </c>
      <c r="K384" t="s">
        <v>47</v>
      </c>
      <c r="L384" t="s">
        <v>357</v>
      </c>
      <c r="M384" t="s">
        <v>358</v>
      </c>
      <c r="N384" t="s">
        <v>359</v>
      </c>
      <c r="O384" t="s">
        <v>360</v>
      </c>
      <c r="P384" t="s">
        <v>290</v>
      </c>
    </row>
    <row r="385" spans="1:16" x14ac:dyDescent="0.25">
      <c r="A385">
        <v>10545</v>
      </c>
      <c r="B385" t="s">
        <v>356</v>
      </c>
      <c r="C385" s="1">
        <v>35572</v>
      </c>
      <c r="D385" s="1" t="str">
        <f t="shared" si="15"/>
        <v>mai</v>
      </c>
      <c r="E385" s="1" t="str">
        <f t="shared" si="16"/>
        <v>1997</v>
      </c>
      <c r="F385" s="1">
        <v>35600</v>
      </c>
      <c r="G385" s="1">
        <v>35607</v>
      </c>
      <c r="H385">
        <v>2</v>
      </c>
      <c r="I385" t="str">
        <f t="shared" si="17"/>
        <v>USPS</v>
      </c>
      <c r="J385">
        <v>11.92</v>
      </c>
      <c r="K385" t="s">
        <v>47</v>
      </c>
      <c r="L385" t="s">
        <v>357</v>
      </c>
      <c r="M385" t="s">
        <v>358</v>
      </c>
      <c r="N385" t="s">
        <v>359</v>
      </c>
      <c r="O385" t="s">
        <v>360</v>
      </c>
      <c r="P385" t="s">
        <v>290</v>
      </c>
    </row>
    <row r="386" spans="1:16" x14ac:dyDescent="0.25">
      <c r="A386">
        <v>10279</v>
      </c>
      <c r="B386" t="s">
        <v>362</v>
      </c>
      <c r="C386" s="1">
        <v>35290</v>
      </c>
      <c r="D386" s="1" t="str">
        <f t="shared" si="15"/>
        <v>ago</v>
      </c>
      <c r="E386" s="1" t="str">
        <f t="shared" si="16"/>
        <v>1996</v>
      </c>
      <c r="F386" s="1">
        <v>35318</v>
      </c>
      <c r="G386" s="1">
        <v>35293</v>
      </c>
      <c r="H386">
        <v>2</v>
      </c>
      <c r="I386" t="str">
        <f t="shared" si="17"/>
        <v>USPS</v>
      </c>
      <c r="J386">
        <v>25.83</v>
      </c>
      <c r="K386" t="s">
        <v>46</v>
      </c>
      <c r="L386" t="s">
        <v>364</v>
      </c>
      <c r="M386" t="s">
        <v>365</v>
      </c>
      <c r="O386" t="s">
        <v>366</v>
      </c>
      <c r="P386" t="s">
        <v>94</v>
      </c>
    </row>
    <row r="387" spans="1:16" x14ac:dyDescent="0.25">
      <c r="A387">
        <v>10284</v>
      </c>
      <c r="B387" t="s">
        <v>362</v>
      </c>
      <c r="C387" s="1">
        <v>35296</v>
      </c>
      <c r="D387" s="1" t="str">
        <f t="shared" ref="D387:D450" si="18">TEXT(C387,"mmm")</f>
        <v>ago</v>
      </c>
      <c r="E387" s="1" t="str">
        <f t="shared" ref="E387:E450" si="19">TEXT(C387,"aaa")</f>
        <v>1996</v>
      </c>
      <c r="F387" s="1">
        <v>35324</v>
      </c>
      <c r="G387" s="1">
        <v>35304</v>
      </c>
      <c r="H387">
        <v>1</v>
      </c>
      <c r="I387" t="str">
        <f t="shared" ref="I387:I450" si="20">CHOOSE(H387,"UPS","USPS","DHL")</f>
        <v>UPS</v>
      </c>
      <c r="J387">
        <v>76.56</v>
      </c>
      <c r="K387" t="s">
        <v>46</v>
      </c>
      <c r="L387" t="s">
        <v>364</v>
      </c>
      <c r="M387" t="s">
        <v>365</v>
      </c>
      <c r="O387" t="s">
        <v>366</v>
      </c>
      <c r="P387" t="s">
        <v>94</v>
      </c>
    </row>
    <row r="388" spans="1:16" x14ac:dyDescent="0.25">
      <c r="A388">
        <v>10343</v>
      </c>
      <c r="B388" t="s">
        <v>362</v>
      </c>
      <c r="C388" s="1">
        <v>35369</v>
      </c>
      <c r="D388" s="1" t="str">
        <f t="shared" si="18"/>
        <v>out</v>
      </c>
      <c r="E388" s="1" t="str">
        <f t="shared" si="19"/>
        <v>1996</v>
      </c>
      <c r="F388" s="1">
        <v>35397</v>
      </c>
      <c r="G388" s="1">
        <v>35375</v>
      </c>
      <c r="H388">
        <v>1</v>
      </c>
      <c r="I388" t="str">
        <f t="shared" si="20"/>
        <v>UPS</v>
      </c>
      <c r="J388">
        <v>110.37</v>
      </c>
      <c r="K388" t="s">
        <v>46</v>
      </c>
      <c r="L388" t="s">
        <v>364</v>
      </c>
      <c r="M388" t="s">
        <v>365</v>
      </c>
      <c r="O388" t="s">
        <v>366</v>
      </c>
      <c r="P388" t="s">
        <v>94</v>
      </c>
    </row>
    <row r="389" spans="1:16" x14ac:dyDescent="0.25">
      <c r="A389">
        <v>10497</v>
      </c>
      <c r="B389" t="s">
        <v>362</v>
      </c>
      <c r="C389" s="1">
        <v>35524</v>
      </c>
      <c r="D389" s="1" t="str">
        <f t="shared" si="18"/>
        <v>abr</v>
      </c>
      <c r="E389" s="1" t="str">
        <f t="shared" si="19"/>
        <v>1997</v>
      </c>
      <c r="F389" s="1">
        <v>35552</v>
      </c>
      <c r="G389" s="1">
        <v>35527</v>
      </c>
      <c r="H389">
        <v>1</v>
      </c>
      <c r="I389" t="str">
        <f t="shared" si="20"/>
        <v>UPS</v>
      </c>
      <c r="J389">
        <v>36.21</v>
      </c>
      <c r="K389" t="s">
        <v>46</v>
      </c>
      <c r="L389" t="s">
        <v>364</v>
      </c>
      <c r="M389" t="s">
        <v>365</v>
      </c>
      <c r="O389" t="s">
        <v>366</v>
      </c>
      <c r="P389" t="s">
        <v>94</v>
      </c>
    </row>
    <row r="390" spans="1:16" x14ac:dyDescent="0.25">
      <c r="A390">
        <v>10522</v>
      </c>
      <c r="B390" t="s">
        <v>362</v>
      </c>
      <c r="C390" s="1">
        <v>35550</v>
      </c>
      <c r="D390" s="1" t="str">
        <f t="shared" si="18"/>
        <v>abr</v>
      </c>
      <c r="E390" s="1" t="str">
        <f t="shared" si="19"/>
        <v>1997</v>
      </c>
      <c r="F390" s="1">
        <v>35578</v>
      </c>
      <c r="G390" s="1">
        <v>35556</v>
      </c>
      <c r="H390">
        <v>1</v>
      </c>
      <c r="I390" t="str">
        <f t="shared" si="20"/>
        <v>UPS</v>
      </c>
      <c r="J390">
        <v>45.33</v>
      </c>
      <c r="K390" t="s">
        <v>46</v>
      </c>
      <c r="L390" t="s">
        <v>364</v>
      </c>
      <c r="M390" t="s">
        <v>365</v>
      </c>
      <c r="O390" t="s">
        <v>366</v>
      </c>
      <c r="P390" t="s">
        <v>94</v>
      </c>
    </row>
    <row r="391" spans="1:16" x14ac:dyDescent="0.25">
      <c r="A391">
        <v>10534</v>
      </c>
      <c r="B391" t="s">
        <v>362</v>
      </c>
      <c r="C391" s="1">
        <v>35562</v>
      </c>
      <c r="D391" s="1" t="str">
        <f t="shared" si="18"/>
        <v>mai</v>
      </c>
      <c r="E391" s="1" t="str">
        <f t="shared" si="19"/>
        <v>1997</v>
      </c>
      <c r="F391" s="1">
        <v>35590</v>
      </c>
      <c r="G391" s="1">
        <v>35564</v>
      </c>
      <c r="H391">
        <v>2</v>
      </c>
      <c r="I391" t="str">
        <f t="shared" si="20"/>
        <v>USPS</v>
      </c>
      <c r="J391">
        <v>27.94</v>
      </c>
      <c r="K391" t="s">
        <v>46</v>
      </c>
      <c r="L391" t="s">
        <v>364</v>
      </c>
      <c r="M391" t="s">
        <v>365</v>
      </c>
      <c r="O391" t="s">
        <v>366</v>
      </c>
      <c r="P391" t="s">
        <v>94</v>
      </c>
    </row>
    <row r="392" spans="1:16" x14ac:dyDescent="0.25">
      <c r="A392">
        <v>10536</v>
      </c>
      <c r="B392" t="s">
        <v>362</v>
      </c>
      <c r="C392" s="1">
        <v>35564</v>
      </c>
      <c r="D392" s="1" t="str">
        <f t="shared" si="18"/>
        <v>mai</v>
      </c>
      <c r="E392" s="1" t="str">
        <f t="shared" si="19"/>
        <v>1997</v>
      </c>
      <c r="F392" s="1">
        <v>35592</v>
      </c>
      <c r="G392" s="1">
        <v>35587</v>
      </c>
      <c r="H392">
        <v>2</v>
      </c>
      <c r="I392" t="str">
        <f t="shared" si="20"/>
        <v>USPS</v>
      </c>
      <c r="J392">
        <v>58.88</v>
      </c>
      <c r="K392" t="s">
        <v>46</v>
      </c>
      <c r="L392" t="s">
        <v>364</v>
      </c>
      <c r="M392" t="s">
        <v>365</v>
      </c>
      <c r="O392" t="s">
        <v>366</v>
      </c>
      <c r="P392" t="s">
        <v>94</v>
      </c>
    </row>
    <row r="393" spans="1:16" x14ac:dyDescent="0.25">
      <c r="A393">
        <v>10557</v>
      </c>
      <c r="B393" t="s">
        <v>362</v>
      </c>
      <c r="C393" s="1">
        <v>35584</v>
      </c>
      <c r="D393" s="1" t="str">
        <f t="shared" si="18"/>
        <v>jun</v>
      </c>
      <c r="E393" s="1" t="str">
        <f t="shared" si="19"/>
        <v>1997</v>
      </c>
      <c r="F393" s="1">
        <v>35598</v>
      </c>
      <c r="G393" s="1">
        <v>35587</v>
      </c>
      <c r="H393">
        <v>2</v>
      </c>
      <c r="I393" t="str">
        <f t="shared" si="20"/>
        <v>USPS</v>
      </c>
      <c r="J393">
        <v>96.72</v>
      </c>
      <c r="K393" t="s">
        <v>46</v>
      </c>
      <c r="L393" t="s">
        <v>364</v>
      </c>
      <c r="M393" t="s">
        <v>365</v>
      </c>
      <c r="O393" t="s">
        <v>366</v>
      </c>
      <c r="P393" t="s">
        <v>94</v>
      </c>
    </row>
    <row r="394" spans="1:16" x14ac:dyDescent="0.25">
      <c r="A394">
        <v>10592</v>
      </c>
      <c r="B394" t="s">
        <v>362</v>
      </c>
      <c r="C394" s="1">
        <v>35619</v>
      </c>
      <c r="D394" s="1" t="str">
        <f t="shared" si="18"/>
        <v>jul</v>
      </c>
      <c r="E394" s="1" t="str">
        <f t="shared" si="19"/>
        <v>1997</v>
      </c>
      <c r="F394" s="1">
        <v>35647</v>
      </c>
      <c r="G394" s="1">
        <v>35627</v>
      </c>
      <c r="H394">
        <v>1</v>
      </c>
      <c r="I394" t="str">
        <f t="shared" si="20"/>
        <v>UPS</v>
      </c>
      <c r="J394">
        <v>32.1</v>
      </c>
      <c r="K394" t="s">
        <v>46</v>
      </c>
      <c r="L394" t="s">
        <v>364</v>
      </c>
      <c r="M394" t="s">
        <v>365</v>
      </c>
      <c r="O394" t="s">
        <v>366</v>
      </c>
      <c r="P394" t="s">
        <v>94</v>
      </c>
    </row>
    <row r="395" spans="1:16" x14ac:dyDescent="0.25">
      <c r="A395">
        <v>10593</v>
      </c>
      <c r="B395" t="s">
        <v>362</v>
      </c>
      <c r="C395" s="1">
        <v>35620</v>
      </c>
      <c r="D395" s="1" t="str">
        <f t="shared" si="18"/>
        <v>jul</v>
      </c>
      <c r="E395" s="1" t="str">
        <f t="shared" si="19"/>
        <v>1997</v>
      </c>
      <c r="F395" s="1">
        <v>35648</v>
      </c>
      <c r="G395" s="1">
        <v>35655</v>
      </c>
      <c r="H395">
        <v>2</v>
      </c>
      <c r="I395" t="str">
        <f t="shared" si="20"/>
        <v>USPS</v>
      </c>
      <c r="J395">
        <v>174.2</v>
      </c>
      <c r="K395" t="s">
        <v>46</v>
      </c>
      <c r="L395" t="s">
        <v>364</v>
      </c>
      <c r="M395" t="s">
        <v>365</v>
      </c>
      <c r="O395" t="s">
        <v>366</v>
      </c>
      <c r="P395" t="s">
        <v>94</v>
      </c>
    </row>
    <row r="396" spans="1:16" x14ac:dyDescent="0.25">
      <c r="A396">
        <v>10772</v>
      </c>
      <c r="B396" t="s">
        <v>362</v>
      </c>
      <c r="C396" s="1">
        <v>35774</v>
      </c>
      <c r="D396" s="1" t="str">
        <f t="shared" si="18"/>
        <v>dez</v>
      </c>
      <c r="E396" s="1" t="str">
        <f t="shared" si="19"/>
        <v>1997</v>
      </c>
      <c r="F396" s="1">
        <v>35802</v>
      </c>
      <c r="G396" s="1">
        <v>35783</v>
      </c>
      <c r="H396">
        <v>2</v>
      </c>
      <c r="I396" t="str">
        <f t="shared" si="20"/>
        <v>USPS</v>
      </c>
      <c r="J396">
        <v>91.28</v>
      </c>
      <c r="K396" t="s">
        <v>46</v>
      </c>
      <c r="L396" t="s">
        <v>364</v>
      </c>
      <c r="M396" t="s">
        <v>365</v>
      </c>
      <c r="O396" t="s">
        <v>366</v>
      </c>
      <c r="P396" t="s">
        <v>94</v>
      </c>
    </row>
    <row r="397" spans="1:16" x14ac:dyDescent="0.25">
      <c r="A397">
        <v>10862</v>
      </c>
      <c r="B397" t="s">
        <v>362</v>
      </c>
      <c r="C397" s="1">
        <v>35825</v>
      </c>
      <c r="D397" s="1" t="str">
        <f t="shared" si="18"/>
        <v>jan</v>
      </c>
      <c r="E397" s="1" t="str">
        <f t="shared" si="19"/>
        <v>1998</v>
      </c>
      <c r="F397" s="1">
        <v>35867</v>
      </c>
      <c r="G397" s="1">
        <v>35828</v>
      </c>
      <c r="H397">
        <v>2</v>
      </c>
      <c r="I397" t="str">
        <f t="shared" si="20"/>
        <v>USPS</v>
      </c>
      <c r="J397">
        <v>53.23</v>
      </c>
      <c r="K397" t="s">
        <v>46</v>
      </c>
      <c r="L397" t="s">
        <v>364</v>
      </c>
      <c r="M397" t="s">
        <v>365</v>
      </c>
      <c r="O397" t="s">
        <v>366</v>
      </c>
      <c r="P397" t="s">
        <v>94</v>
      </c>
    </row>
    <row r="398" spans="1:16" x14ac:dyDescent="0.25">
      <c r="A398">
        <v>10891</v>
      </c>
      <c r="B398" t="s">
        <v>362</v>
      </c>
      <c r="C398" s="1">
        <v>35843</v>
      </c>
      <c r="D398" s="1" t="str">
        <f t="shared" si="18"/>
        <v>fev</v>
      </c>
      <c r="E398" s="1" t="str">
        <f t="shared" si="19"/>
        <v>1998</v>
      </c>
      <c r="F398" s="1">
        <v>35871</v>
      </c>
      <c r="G398" s="1">
        <v>35845</v>
      </c>
      <c r="H398">
        <v>2</v>
      </c>
      <c r="I398" t="str">
        <f t="shared" si="20"/>
        <v>USPS</v>
      </c>
      <c r="J398">
        <v>20.37</v>
      </c>
      <c r="K398" t="s">
        <v>46</v>
      </c>
      <c r="L398" t="s">
        <v>364</v>
      </c>
      <c r="M398" t="s">
        <v>365</v>
      </c>
      <c r="O398" t="s">
        <v>366</v>
      </c>
      <c r="P398" t="s">
        <v>94</v>
      </c>
    </row>
    <row r="399" spans="1:16" x14ac:dyDescent="0.25">
      <c r="A399">
        <v>10934</v>
      </c>
      <c r="B399" t="s">
        <v>362</v>
      </c>
      <c r="C399" s="1">
        <v>35863</v>
      </c>
      <c r="D399" s="1" t="str">
        <f t="shared" si="18"/>
        <v>mar</v>
      </c>
      <c r="E399" s="1" t="str">
        <f t="shared" si="19"/>
        <v>1998</v>
      </c>
      <c r="F399" s="1">
        <v>35891</v>
      </c>
      <c r="G399" s="1">
        <v>35866</v>
      </c>
      <c r="H399">
        <v>3</v>
      </c>
      <c r="I399" t="str">
        <f t="shared" si="20"/>
        <v>DHL</v>
      </c>
      <c r="J399">
        <v>32.01</v>
      </c>
      <c r="K399" t="s">
        <v>46</v>
      </c>
      <c r="L399" t="s">
        <v>364</v>
      </c>
      <c r="M399" t="s">
        <v>365</v>
      </c>
      <c r="O399" t="s">
        <v>366</v>
      </c>
      <c r="P399" t="s">
        <v>94</v>
      </c>
    </row>
    <row r="400" spans="1:16" x14ac:dyDescent="0.25">
      <c r="A400">
        <v>11070</v>
      </c>
      <c r="B400" t="s">
        <v>362</v>
      </c>
      <c r="C400" s="1">
        <v>35920</v>
      </c>
      <c r="D400" s="1" t="str">
        <f t="shared" si="18"/>
        <v>mai</v>
      </c>
      <c r="E400" s="1" t="str">
        <f t="shared" si="19"/>
        <v>1998</v>
      </c>
      <c r="F400" s="1">
        <v>35948</v>
      </c>
      <c r="G400" s="1"/>
      <c r="H400">
        <v>1</v>
      </c>
      <c r="I400" t="str">
        <f t="shared" si="20"/>
        <v>UPS</v>
      </c>
      <c r="J400">
        <v>136</v>
      </c>
      <c r="K400" t="s">
        <v>46</v>
      </c>
      <c r="L400" t="s">
        <v>364</v>
      </c>
      <c r="M400" t="s">
        <v>365</v>
      </c>
      <c r="O400" t="s">
        <v>366</v>
      </c>
      <c r="P400" t="s">
        <v>94</v>
      </c>
    </row>
    <row r="401" spans="1:16" x14ac:dyDescent="0.25">
      <c r="A401">
        <v>10579</v>
      </c>
      <c r="B401" t="s">
        <v>368</v>
      </c>
      <c r="C401" s="1">
        <v>35606</v>
      </c>
      <c r="D401" s="1" t="str">
        <f t="shared" si="18"/>
        <v>jun</v>
      </c>
      <c r="E401" s="1" t="str">
        <f t="shared" si="19"/>
        <v>1997</v>
      </c>
      <c r="F401" s="1">
        <v>35634</v>
      </c>
      <c r="G401" s="1">
        <v>35615</v>
      </c>
      <c r="H401">
        <v>2</v>
      </c>
      <c r="I401" t="str">
        <f t="shared" si="20"/>
        <v>USPS</v>
      </c>
      <c r="J401">
        <v>13.73</v>
      </c>
      <c r="K401" t="s">
        <v>45</v>
      </c>
      <c r="L401" t="s">
        <v>370</v>
      </c>
      <c r="M401" t="s">
        <v>371</v>
      </c>
      <c r="N401" t="s">
        <v>372</v>
      </c>
      <c r="O401" t="s">
        <v>373</v>
      </c>
      <c r="P401" t="s">
        <v>290</v>
      </c>
    </row>
    <row r="402" spans="1:16" x14ac:dyDescent="0.25">
      <c r="A402">
        <v>10719</v>
      </c>
      <c r="B402" t="s">
        <v>368</v>
      </c>
      <c r="C402" s="1">
        <v>35730</v>
      </c>
      <c r="D402" s="1" t="str">
        <f t="shared" si="18"/>
        <v>out</v>
      </c>
      <c r="E402" s="1" t="str">
        <f t="shared" si="19"/>
        <v>1997</v>
      </c>
      <c r="F402" s="1">
        <v>35758</v>
      </c>
      <c r="G402" s="1">
        <v>35739</v>
      </c>
      <c r="H402">
        <v>2</v>
      </c>
      <c r="I402" t="str">
        <f t="shared" si="20"/>
        <v>USPS</v>
      </c>
      <c r="J402">
        <v>51.44</v>
      </c>
      <c r="K402" t="s">
        <v>45</v>
      </c>
      <c r="L402" t="s">
        <v>370</v>
      </c>
      <c r="M402" t="s">
        <v>371</v>
      </c>
      <c r="N402" t="s">
        <v>372</v>
      </c>
      <c r="O402" t="s">
        <v>373</v>
      </c>
      <c r="P402" t="s">
        <v>290</v>
      </c>
    </row>
    <row r="403" spans="1:16" x14ac:dyDescent="0.25">
      <c r="A403">
        <v>10735</v>
      </c>
      <c r="B403" t="s">
        <v>368</v>
      </c>
      <c r="C403" s="1">
        <v>35744</v>
      </c>
      <c r="D403" s="1" t="str">
        <f t="shared" si="18"/>
        <v>nov</v>
      </c>
      <c r="E403" s="1" t="str">
        <f t="shared" si="19"/>
        <v>1997</v>
      </c>
      <c r="F403" s="1">
        <v>35772</v>
      </c>
      <c r="G403" s="1">
        <v>35755</v>
      </c>
      <c r="H403">
        <v>2</v>
      </c>
      <c r="I403" t="str">
        <f t="shared" si="20"/>
        <v>USPS</v>
      </c>
      <c r="J403">
        <v>45.97</v>
      </c>
      <c r="K403" t="s">
        <v>45</v>
      </c>
      <c r="L403" t="s">
        <v>370</v>
      </c>
      <c r="M403" t="s">
        <v>371</v>
      </c>
      <c r="N403" t="s">
        <v>372</v>
      </c>
      <c r="O403" t="s">
        <v>373</v>
      </c>
      <c r="P403" t="s">
        <v>290</v>
      </c>
    </row>
    <row r="404" spans="1:16" x14ac:dyDescent="0.25">
      <c r="A404">
        <v>10884</v>
      </c>
      <c r="B404" t="s">
        <v>368</v>
      </c>
      <c r="C404" s="1">
        <v>35838</v>
      </c>
      <c r="D404" s="1" t="str">
        <f t="shared" si="18"/>
        <v>fev</v>
      </c>
      <c r="E404" s="1" t="str">
        <f t="shared" si="19"/>
        <v>1998</v>
      </c>
      <c r="F404" s="1">
        <v>35866</v>
      </c>
      <c r="G404" s="1">
        <v>35839</v>
      </c>
      <c r="H404">
        <v>2</v>
      </c>
      <c r="I404" t="str">
        <f t="shared" si="20"/>
        <v>USPS</v>
      </c>
      <c r="J404">
        <v>90.97</v>
      </c>
      <c r="K404" t="s">
        <v>45</v>
      </c>
      <c r="L404" t="s">
        <v>370</v>
      </c>
      <c r="M404" t="s">
        <v>371</v>
      </c>
      <c r="N404" t="s">
        <v>372</v>
      </c>
      <c r="O404" t="s">
        <v>373</v>
      </c>
      <c r="P404" t="s">
        <v>290</v>
      </c>
    </row>
    <row r="405" spans="1:16" x14ac:dyDescent="0.25">
      <c r="A405">
        <v>10283</v>
      </c>
      <c r="B405" t="s">
        <v>375</v>
      </c>
      <c r="C405" s="1">
        <v>35293</v>
      </c>
      <c r="D405" s="1" t="str">
        <f t="shared" si="18"/>
        <v>ago</v>
      </c>
      <c r="E405" s="1" t="str">
        <f t="shared" si="19"/>
        <v>1996</v>
      </c>
      <c r="F405" s="1">
        <v>35321</v>
      </c>
      <c r="G405" s="1">
        <v>35300</v>
      </c>
      <c r="H405">
        <v>3</v>
      </c>
      <c r="I405" t="str">
        <f t="shared" si="20"/>
        <v>DHL</v>
      </c>
      <c r="J405">
        <v>84.81</v>
      </c>
      <c r="K405" t="s">
        <v>44</v>
      </c>
      <c r="L405" t="s">
        <v>377</v>
      </c>
      <c r="M405" t="s">
        <v>378</v>
      </c>
      <c r="N405" t="s">
        <v>379</v>
      </c>
      <c r="O405" t="s">
        <v>380</v>
      </c>
      <c r="P405" t="s">
        <v>298</v>
      </c>
    </row>
    <row r="406" spans="1:16" x14ac:dyDescent="0.25">
      <c r="A406">
        <v>10296</v>
      </c>
      <c r="B406" t="s">
        <v>375</v>
      </c>
      <c r="C406" s="1">
        <v>35311</v>
      </c>
      <c r="D406" s="1" t="str">
        <f t="shared" si="18"/>
        <v>set</v>
      </c>
      <c r="E406" s="1" t="str">
        <f t="shared" si="19"/>
        <v>1996</v>
      </c>
      <c r="F406" s="1">
        <v>35339</v>
      </c>
      <c r="G406" s="1">
        <v>35319</v>
      </c>
      <c r="H406">
        <v>1</v>
      </c>
      <c r="I406" t="str">
        <f t="shared" si="20"/>
        <v>UPS</v>
      </c>
      <c r="J406">
        <v>0.12</v>
      </c>
      <c r="K406" t="s">
        <v>44</v>
      </c>
      <c r="L406" t="s">
        <v>377</v>
      </c>
      <c r="M406" t="s">
        <v>378</v>
      </c>
      <c r="N406" t="s">
        <v>379</v>
      </c>
      <c r="O406" t="s">
        <v>380</v>
      </c>
      <c r="P406" t="s">
        <v>298</v>
      </c>
    </row>
    <row r="407" spans="1:16" x14ac:dyDescent="0.25">
      <c r="A407">
        <v>10330</v>
      </c>
      <c r="B407" t="s">
        <v>375</v>
      </c>
      <c r="C407" s="1">
        <v>35354</v>
      </c>
      <c r="D407" s="1" t="str">
        <f t="shared" si="18"/>
        <v>out</v>
      </c>
      <c r="E407" s="1" t="str">
        <f t="shared" si="19"/>
        <v>1996</v>
      </c>
      <c r="F407" s="1">
        <v>35382</v>
      </c>
      <c r="G407" s="1">
        <v>35366</v>
      </c>
      <c r="H407">
        <v>1</v>
      </c>
      <c r="I407" t="str">
        <f t="shared" si="20"/>
        <v>UPS</v>
      </c>
      <c r="J407">
        <v>12.75</v>
      </c>
      <c r="K407" t="s">
        <v>44</v>
      </c>
      <c r="L407" t="s">
        <v>377</v>
      </c>
      <c r="M407" t="s">
        <v>378</v>
      </c>
      <c r="N407" t="s">
        <v>379</v>
      </c>
      <c r="O407" t="s">
        <v>380</v>
      </c>
      <c r="P407" t="s">
        <v>298</v>
      </c>
    </row>
    <row r="408" spans="1:16" x14ac:dyDescent="0.25">
      <c r="A408">
        <v>10357</v>
      </c>
      <c r="B408" t="s">
        <v>375</v>
      </c>
      <c r="C408" s="1">
        <v>35388</v>
      </c>
      <c r="D408" s="1" t="str">
        <f t="shared" si="18"/>
        <v>nov</v>
      </c>
      <c r="E408" s="1" t="str">
        <f t="shared" si="19"/>
        <v>1996</v>
      </c>
      <c r="F408" s="1">
        <v>35416</v>
      </c>
      <c r="G408" s="1">
        <v>35401</v>
      </c>
      <c r="H408">
        <v>3</v>
      </c>
      <c r="I408" t="str">
        <f t="shared" si="20"/>
        <v>DHL</v>
      </c>
      <c r="J408">
        <v>34.880000000000003</v>
      </c>
      <c r="K408" t="s">
        <v>44</v>
      </c>
      <c r="L408" t="s">
        <v>377</v>
      </c>
      <c r="M408" t="s">
        <v>378</v>
      </c>
      <c r="N408" t="s">
        <v>379</v>
      </c>
      <c r="O408" t="s">
        <v>380</v>
      </c>
      <c r="P408" t="s">
        <v>298</v>
      </c>
    </row>
    <row r="409" spans="1:16" x14ac:dyDescent="0.25">
      <c r="A409">
        <v>10381</v>
      </c>
      <c r="B409" t="s">
        <v>375</v>
      </c>
      <c r="C409" s="1">
        <v>35411</v>
      </c>
      <c r="D409" s="1" t="str">
        <f t="shared" si="18"/>
        <v>dez</v>
      </c>
      <c r="E409" s="1" t="str">
        <f t="shared" si="19"/>
        <v>1996</v>
      </c>
      <c r="F409" s="1">
        <v>35439</v>
      </c>
      <c r="G409" s="1">
        <v>35412</v>
      </c>
      <c r="H409">
        <v>3</v>
      </c>
      <c r="I409" t="str">
        <f t="shared" si="20"/>
        <v>DHL</v>
      </c>
      <c r="J409">
        <v>7.99</v>
      </c>
      <c r="K409" t="s">
        <v>44</v>
      </c>
      <c r="L409" t="s">
        <v>377</v>
      </c>
      <c r="M409" t="s">
        <v>378</v>
      </c>
      <c r="N409" t="s">
        <v>379</v>
      </c>
      <c r="O409" t="s">
        <v>380</v>
      </c>
      <c r="P409" t="s">
        <v>298</v>
      </c>
    </row>
    <row r="410" spans="1:16" x14ac:dyDescent="0.25">
      <c r="A410">
        <v>10461</v>
      </c>
      <c r="B410" t="s">
        <v>375</v>
      </c>
      <c r="C410" s="1">
        <v>35489</v>
      </c>
      <c r="D410" s="1" t="str">
        <f t="shared" si="18"/>
        <v>fev</v>
      </c>
      <c r="E410" s="1" t="str">
        <f t="shared" si="19"/>
        <v>1997</v>
      </c>
      <c r="F410" s="1">
        <v>35517</v>
      </c>
      <c r="G410" s="1">
        <v>35494</v>
      </c>
      <c r="H410">
        <v>3</v>
      </c>
      <c r="I410" t="str">
        <f t="shared" si="20"/>
        <v>DHL</v>
      </c>
      <c r="J410">
        <v>148.61000000000001</v>
      </c>
      <c r="K410" t="s">
        <v>44</v>
      </c>
      <c r="L410" t="s">
        <v>377</v>
      </c>
      <c r="M410" t="s">
        <v>378</v>
      </c>
      <c r="N410" t="s">
        <v>379</v>
      </c>
      <c r="O410" t="s">
        <v>380</v>
      </c>
      <c r="P410" t="s">
        <v>298</v>
      </c>
    </row>
    <row r="411" spans="1:16" x14ac:dyDescent="0.25">
      <c r="A411">
        <v>10499</v>
      </c>
      <c r="B411" t="s">
        <v>375</v>
      </c>
      <c r="C411" s="1">
        <v>35528</v>
      </c>
      <c r="D411" s="1" t="str">
        <f t="shared" si="18"/>
        <v>abr</v>
      </c>
      <c r="E411" s="1" t="str">
        <f t="shared" si="19"/>
        <v>1997</v>
      </c>
      <c r="F411" s="1">
        <v>35556</v>
      </c>
      <c r="G411" s="1">
        <v>35536</v>
      </c>
      <c r="H411">
        <v>2</v>
      </c>
      <c r="I411" t="str">
        <f t="shared" si="20"/>
        <v>USPS</v>
      </c>
      <c r="J411">
        <v>102.02</v>
      </c>
      <c r="K411" t="s">
        <v>44</v>
      </c>
      <c r="L411" t="s">
        <v>377</v>
      </c>
      <c r="M411" t="s">
        <v>378</v>
      </c>
      <c r="N411" t="s">
        <v>379</v>
      </c>
      <c r="O411" t="s">
        <v>380</v>
      </c>
      <c r="P411" t="s">
        <v>298</v>
      </c>
    </row>
    <row r="412" spans="1:16" x14ac:dyDescent="0.25">
      <c r="A412">
        <v>10543</v>
      </c>
      <c r="B412" t="s">
        <v>375</v>
      </c>
      <c r="C412" s="1">
        <v>35571</v>
      </c>
      <c r="D412" s="1" t="str">
        <f t="shared" si="18"/>
        <v>mai</v>
      </c>
      <c r="E412" s="1" t="str">
        <f t="shared" si="19"/>
        <v>1997</v>
      </c>
      <c r="F412" s="1">
        <v>35599</v>
      </c>
      <c r="G412" s="1">
        <v>35573</v>
      </c>
      <c r="H412">
        <v>2</v>
      </c>
      <c r="I412" t="str">
        <f t="shared" si="20"/>
        <v>USPS</v>
      </c>
      <c r="J412">
        <v>48.17</v>
      </c>
      <c r="K412" t="s">
        <v>44</v>
      </c>
      <c r="L412" t="s">
        <v>377</v>
      </c>
      <c r="M412" t="s">
        <v>378</v>
      </c>
      <c r="N412" t="s">
        <v>379</v>
      </c>
      <c r="O412" t="s">
        <v>380</v>
      </c>
      <c r="P412" t="s">
        <v>298</v>
      </c>
    </row>
    <row r="413" spans="1:16" x14ac:dyDescent="0.25">
      <c r="A413">
        <v>10780</v>
      </c>
      <c r="B413" t="s">
        <v>375</v>
      </c>
      <c r="C413" s="1">
        <v>35780</v>
      </c>
      <c r="D413" s="1" t="str">
        <f t="shared" si="18"/>
        <v>dez</v>
      </c>
      <c r="E413" s="1" t="str">
        <f t="shared" si="19"/>
        <v>1997</v>
      </c>
      <c r="F413" s="1">
        <v>35794</v>
      </c>
      <c r="G413" s="1">
        <v>35789</v>
      </c>
      <c r="H413">
        <v>1</v>
      </c>
      <c r="I413" t="str">
        <f t="shared" si="20"/>
        <v>UPS</v>
      </c>
      <c r="J413">
        <v>42.13</v>
      </c>
      <c r="K413" t="s">
        <v>44</v>
      </c>
      <c r="L413" t="s">
        <v>377</v>
      </c>
      <c r="M413" t="s">
        <v>378</v>
      </c>
      <c r="N413" t="s">
        <v>379</v>
      </c>
      <c r="O413" t="s">
        <v>380</v>
      </c>
      <c r="P413" t="s">
        <v>298</v>
      </c>
    </row>
    <row r="414" spans="1:16" x14ac:dyDescent="0.25">
      <c r="A414">
        <v>10823</v>
      </c>
      <c r="B414" t="s">
        <v>375</v>
      </c>
      <c r="C414" s="1">
        <v>35804</v>
      </c>
      <c r="D414" s="1" t="str">
        <f t="shared" si="18"/>
        <v>jan</v>
      </c>
      <c r="E414" s="1" t="str">
        <f t="shared" si="19"/>
        <v>1998</v>
      </c>
      <c r="F414" s="1">
        <v>35832</v>
      </c>
      <c r="G414" s="1">
        <v>35808</v>
      </c>
      <c r="H414">
        <v>2</v>
      </c>
      <c r="I414" t="str">
        <f t="shared" si="20"/>
        <v>USPS</v>
      </c>
      <c r="J414">
        <v>163.97</v>
      </c>
      <c r="K414" t="s">
        <v>44</v>
      </c>
      <c r="L414" t="s">
        <v>377</v>
      </c>
      <c r="M414" t="s">
        <v>378</v>
      </c>
      <c r="N414" t="s">
        <v>379</v>
      </c>
      <c r="O414" t="s">
        <v>380</v>
      </c>
      <c r="P414" t="s">
        <v>298</v>
      </c>
    </row>
    <row r="415" spans="1:16" x14ac:dyDescent="0.25">
      <c r="A415">
        <v>10899</v>
      </c>
      <c r="B415" t="s">
        <v>375</v>
      </c>
      <c r="C415" s="1">
        <v>35846</v>
      </c>
      <c r="D415" s="1" t="str">
        <f t="shared" si="18"/>
        <v>fev</v>
      </c>
      <c r="E415" s="1" t="str">
        <f t="shared" si="19"/>
        <v>1998</v>
      </c>
      <c r="F415" s="1">
        <v>35874</v>
      </c>
      <c r="G415" s="1">
        <v>35852</v>
      </c>
      <c r="H415">
        <v>3</v>
      </c>
      <c r="I415" t="str">
        <f t="shared" si="20"/>
        <v>DHL</v>
      </c>
      <c r="J415">
        <v>1.21</v>
      </c>
      <c r="K415" t="s">
        <v>44</v>
      </c>
      <c r="L415" t="s">
        <v>377</v>
      </c>
      <c r="M415" t="s">
        <v>378</v>
      </c>
      <c r="N415" t="s">
        <v>379</v>
      </c>
      <c r="O415" t="s">
        <v>380</v>
      </c>
      <c r="P415" t="s">
        <v>298</v>
      </c>
    </row>
    <row r="416" spans="1:16" x14ac:dyDescent="0.25">
      <c r="A416">
        <v>10997</v>
      </c>
      <c r="B416" t="s">
        <v>375</v>
      </c>
      <c r="C416" s="1">
        <v>35888</v>
      </c>
      <c r="D416" s="1" t="str">
        <f t="shared" si="18"/>
        <v>abr</v>
      </c>
      <c r="E416" s="1" t="str">
        <f t="shared" si="19"/>
        <v>1998</v>
      </c>
      <c r="F416" s="1">
        <v>35930</v>
      </c>
      <c r="G416" s="1">
        <v>35898</v>
      </c>
      <c r="H416">
        <v>2</v>
      </c>
      <c r="I416" t="str">
        <f t="shared" si="20"/>
        <v>USPS</v>
      </c>
      <c r="J416">
        <v>73.91</v>
      </c>
      <c r="K416" t="s">
        <v>44</v>
      </c>
      <c r="L416" t="s">
        <v>377</v>
      </c>
      <c r="M416" t="s">
        <v>378</v>
      </c>
      <c r="N416" t="s">
        <v>379</v>
      </c>
      <c r="O416" t="s">
        <v>380</v>
      </c>
      <c r="P416" t="s">
        <v>298</v>
      </c>
    </row>
    <row r="417" spans="1:16" x14ac:dyDescent="0.25">
      <c r="A417">
        <v>11065</v>
      </c>
      <c r="B417" t="s">
        <v>375</v>
      </c>
      <c r="C417" s="1">
        <v>35916</v>
      </c>
      <c r="D417" s="1" t="str">
        <f t="shared" si="18"/>
        <v>mai</v>
      </c>
      <c r="E417" s="1" t="str">
        <f t="shared" si="19"/>
        <v>1998</v>
      </c>
      <c r="F417" s="1">
        <v>35944</v>
      </c>
      <c r="G417" s="1"/>
      <c r="H417">
        <v>1</v>
      </c>
      <c r="I417" t="str">
        <f t="shared" si="20"/>
        <v>UPS</v>
      </c>
      <c r="J417">
        <v>12.91</v>
      </c>
      <c r="K417" t="s">
        <v>44</v>
      </c>
      <c r="L417" t="s">
        <v>377</v>
      </c>
      <c r="M417" t="s">
        <v>378</v>
      </c>
      <c r="N417" t="s">
        <v>379</v>
      </c>
      <c r="O417" t="s">
        <v>380</v>
      </c>
      <c r="P417" t="s">
        <v>298</v>
      </c>
    </row>
    <row r="418" spans="1:16" x14ac:dyDescent="0.25">
      <c r="A418">
        <v>11071</v>
      </c>
      <c r="B418" t="s">
        <v>375</v>
      </c>
      <c r="C418" s="1">
        <v>35920</v>
      </c>
      <c r="D418" s="1" t="str">
        <f t="shared" si="18"/>
        <v>mai</v>
      </c>
      <c r="E418" s="1" t="str">
        <f t="shared" si="19"/>
        <v>1998</v>
      </c>
      <c r="F418" s="1">
        <v>35948</v>
      </c>
      <c r="G418" s="1"/>
      <c r="H418">
        <v>1</v>
      </c>
      <c r="I418" t="str">
        <f t="shared" si="20"/>
        <v>UPS</v>
      </c>
      <c r="J418">
        <v>0.93</v>
      </c>
      <c r="K418" t="s">
        <v>44</v>
      </c>
      <c r="L418" t="s">
        <v>377</v>
      </c>
      <c r="M418" t="s">
        <v>378</v>
      </c>
      <c r="N418" t="s">
        <v>379</v>
      </c>
      <c r="O418" t="s">
        <v>380</v>
      </c>
      <c r="P418" t="s">
        <v>298</v>
      </c>
    </row>
    <row r="419" spans="1:16" x14ac:dyDescent="0.25">
      <c r="A419">
        <v>10405</v>
      </c>
      <c r="B419" t="s">
        <v>382</v>
      </c>
      <c r="C419" s="1">
        <v>35436</v>
      </c>
      <c r="D419" s="1" t="str">
        <f t="shared" si="18"/>
        <v>jan</v>
      </c>
      <c r="E419" s="1" t="str">
        <f t="shared" si="19"/>
        <v>1997</v>
      </c>
      <c r="F419" s="1">
        <v>35464</v>
      </c>
      <c r="G419" s="1">
        <v>35452</v>
      </c>
      <c r="H419">
        <v>1</v>
      </c>
      <c r="I419" t="str">
        <f t="shared" si="20"/>
        <v>UPS</v>
      </c>
      <c r="J419">
        <v>34.82</v>
      </c>
      <c r="K419" t="s">
        <v>43</v>
      </c>
      <c r="L419" t="s">
        <v>384</v>
      </c>
      <c r="M419" t="s">
        <v>385</v>
      </c>
      <c r="N419" t="s">
        <v>386</v>
      </c>
      <c r="O419" t="s">
        <v>387</v>
      </c>
      <c r="P419" t="s">
        <v>298</v>
      </c>
    </row>
    <row r="420" spans="1:16" x14ac:dyDescent="0.25">
      <c r="A420">
        <v>10485</v>
      </c>
      <c r="B420" t="s">
        <v>382</v>
      </c>
      <c r="C420" s="1">
        <v>35514</v>
      </c>
      <c r="D420" s="1" t="str">
        <f t="shared" si="18"/>
        <v>mar</v>
      </c>
      <c r="E420" s="1" t="str">
        <f t="shared" si="19"/>
        <v>1997</v>
      </c>
      <c r="F420" s="1">
        <v>35528</v>
      </c>
      <c r="G420" s="1">
        <v>35520</v>
      </c>
      <c r="H420">
        <v>2</v>
      </c>
      <c r="I420" t="str">
        <f t="shared" si="20"/>
        <v>USPS</v>
      </c>
      <c r="J420">
        <v>64.45</v>
      </c>
      <c r="K420" t="s">
        <v>43</v>
      </c>
      <c r="L420" t="s">
        <v>384</v>
      </c>
      <c r="M420" t="s">
        <v>385</v>
      </c>
      <c r="N420" t="s">
        <v>386</v>
      </c>
      <c r="O420" t="s">
        <v>387</v>
      </c>
      <c r="P420" t="s">
        <v>298</v>
      </c>
    </row>
    <row r="421" spans="1:16" x14ac:dyDescent="0.25">
      <c r="A421">
        <v>10638</v>
      </c>
      <c r="B421" t="s">
        <v>382</v>
      </c>
      <c r="C421" s="1">
        <v>35662</v>
      </c>
      <c r="D421" s="1" t="str">
        <f t="shared" si="18"/>
        <v>ago</v>
      </c>
      <c r="E421" s="1" t="str">
        <f t="shared" si="19"/>
        <v>1997</v>
      </c>
      <c r="F421" s="1">
        <v>35690</v>
      </c>
      <c r="G421" s="1">
        <v>35674</v>
      </c>
      <c r="H421">
        <v>1</v>
      </c>
      <c r="I421" t="str">
        <f t="shared" si="20"/>
        <v>UPS</v>
      </c>
      <c r="J421">
        <v>158.44</v>
      </c>
      <c r="K421" t="s">
        <v>43</v>
      </c>
      <c r="L421" t="s">
        <v>384</v>
      </c>
      <c r="M421" t="s">
        <v>385</v>
      </c>
      <c r="N421" t="s">
        <v>386</v>
      </c>
      <c r="O421" t="s">
        <v>387</v>
      </c>
      <c r="P421" t="s">
        <v>298</v>
      </c>
    </row>
    <row r="422" spans="1:16" x14ac:dyDescent="0.25">
      <c r="A422">
        <v>10697</v>
      </c>
      <c r="B422" t="s">
        <v>382</v>
      </c>
      <c r="C422" s="1">
        <v>35711</v>
      </c>
      <c r="D422" s="1" t="str">
        <f t="shared" si="18"/>
        <v>out</v>
      </c>
      <c r="E422" s="1" t="str">
        <f t="shared" si="19"/>
        <v>1997</v>
      </c>
      <c r="F422" s="1">
        <v>35739</v>
      </c>
      <c r="G422" s="1">
        <v>35717</v>
      </c>
      <c r="H422">
        <v>1</v>
      </c>
      <c r="I422" t="str">
        <f t="shared" si="20"/>
        <v>UPS</v>
      </c>
      <c r="J422">
        <v>45.52</v>
      </c>
      <c r="K422" t="s">
        <v>43</v>
      </c>
      <c r="L422" t="s">
        <v>384</v>
      </c>
      <c r="M422" t="s">
        <v>385</v>
      </c>
      <c r="N422" t="s">
        <v>386</v>
      </c>
      <c r="O422" t="s">
        <v>387</v>
      </c>
      <c r="P422" t="s">
        <v>298</v>
      </c>
    </row>
    <row r="423" spans="1:16" x14ac:dyDescent="0.25">
      <c r="A423">
        <v>10729</v>
      </c>
      <c r="B423" t="s">
        <v>382</v>
      </c>
      <c r="C423" s="1">
        <v>35738</v>
      </c>
      <c r="D423" s="1" t="str">
        <f t="shared" si="18"/>
        <v>nov</v>
      </c>
      <c r="E423" s="1" t="str">
        <f t="shared" si="19"/>
        <v>1997</v>
      </c>
      <c r="F423" s="1">
        <v>35780</v>
      </c>
      <c r="G423" s="1">
        <v>35748</v>
      </c>
      <c r="H423">
        <v>3</v>
      </c>
      <c r="I423" t="str">
        <f t="shared" si="20"/>
        <v>DHL</v>
      </c>
      <c r="J423">
        <v>141.06</v>
      </c>
      <c r="K423" t="s">
        <v>43</v>
      </c>
      <c r="L423" t="s">
        <v>384</v>
      </c>
      <c r="M423" t="s">
        <v>385</v>
      </c>
      <c r="N423" t="s">
        <v>386</v>
      </c>
      <c r="O423" t="s">
        <v>387</v>
      </c>
      <c r="P423" t="s">
        <v>298</v>
      </c>
    </row>
    <row r="424" spans="1:16" x14ac:dyDescent="0.25">
      <c r="A424">
        <v>10811</v>
      </c>
      <c r="B424" t="s">
        <v>382</v>
      </c>
      <c r="C424" s="1">
        <v>35797</v>
      </c>
      <c r="D424" s="1" t="str">
        <f t="shared" si="18"/>
        <v>jan</v>
      </c>
      <c r="E424" s="1" t="str">
        <f t="shared" si="19"/>
        <v>1998</v>
      </c>
      <c r="F424" s="1">
        <v>35825</v>
      </c>
      <c r="G424" s="1">
        <v>35803</v>
      </c>
      <c r="H424">
        <v>1</v>
      </c>
      <c r="I424" t="str">
        <f t="shared" si="20"/>
        <v>UPS</v>
      </c>
      <c r="J424">
        <v>31.22</v>
      </c>
      <c r="K424" t="s">
        <v>43</v>
      </c>
      <c r="L424" t="s">
        <v>384</v>
      </c>
      <c r="M424" t="s">
        <v>385</v>
      </c>
      <c r="N424" t="s">
        <v>386</v>
      </c>
      <c r="O424" t="s">
        <v>387</v>
      </c>
      <c r="P424" t="s">
        <v>298</v>
      </c>
    </row>
    <row r="425" spans="1:16" x14ac:dyDescent="0.25">
      <c r="A425">
        <v>10838</v>
      </c>
      <c r="B425" t="s">
        <v>382</v>
      </c>
      <c r="C425" s="1">
        <v>35814</v>
      </c>
      <c r="D425" s="1" t="str">
        <f t="shared" si="18"/>
        <v>jan</v>
      </c>
      <c r="E425" s="1" t="str">
        <f t="shared" si="19"/>
        <v>1998</v>
      </c>
      <c r="F425" s="1">
        <v>35842</v>
      </c>
      <c r="G425" s="1">
        <v>35818</v>
      </c>
      <c r="H425">
        <v>3</v>
      </c>
      <c r="I425" t="str">
        <f t="shared" si="20"/>
        <v>DHL</v>
      </c>
      <c r="J425">
        <v>59.28</v>
      </c>
      <c r="K425" t="s">
        <v>43</v>
      </c>
      <c r="L425" t="s">
        <v>384</v>
      </c>
      <c r="M425" t="s">
        <v>385</v>
      </c>
      <c r="N425" t="s">
        <v>386</v>
      </c>
      <c r="O425" t="s">
        <v>387</v>
      </c>
      <c r="P425" t="s">
        <v>298</v>
      </c>
    </row>
    <row r="426" spans="1:16" x14ac:dyDescent="0.25">
      <c r="A426">
        <v>10840</v>
      </c>
      <c r="B426" t="s">
        <v>382</v>
      </c>
      <c r="C426" s="1">
        <v>35814</v>
      </c>
      <c r="D426" s="1" t="str">
        <f t="shared" si="18"/>
        <v>jan</v>
      </c>
      <c r="E426" s="1" t="str">
        <f t="shared" si="19"/>
        <v>1998</v>
      </c>
      <c r="F426" s="1">
        <v>35856</v>
      </c>
      <c r="G426" s="1">
        <v>35842</v>
      </c>
      <c r="H426">
        <v>2</v>
      </c>
      <c r="I426" t="str">
        <f t="shared" si="20"/>
        <v>USPS</v>
      </c>
      <c r="J426">
        <v>2.71</v>
      </c>
      <c r="K426" t="s">
        <v>43</v>
      </c>
      <c r="L426" t="s">
        <v>384</v>
      </c>
      <c r="M426" t="s">
        <v>385</v>
      </c>
      <c r="N426" t="s">
        <v>386</v>
      </c>
      <c r="O426" t="s">
        <v>387</v>
      </c>
      <c r="P426" t="s">
        <v>298</v>
      </c>
    </row>
    <row r="427" spans="1:16" x14ac:dyDescent="0.25">
      <c r="A427">
        <v>10919</v>
      </c>
      <c r="B427" t="s">
        <v>382</v>
      </c>
      <c r="C427" s="1">
        <v>35856</v>
      </c>
      <c r="D427" s="1" t="str">
        <f t="shared" si="18"/>
        <v>mar</v>
      </c>
      <c r="E427" s="1" t="str">
        <f t="shared" si="19"/>
        <v>1998</v>
      </c>
      <c r="F427" s="1">
        <v>35884</v>
      </c>
      <c r="G427" s="1">
        <v>35858</v>
      </c>
      <c r="H427">
        <v>2</v>
      </c>
      <c r="I427" t="str">
        <f t="shared" si="20"/>
        <v>USPS</v>
      </c>
      <c r="J427">
        <v>19.8</v>
      </c>
      <c r="K427" t="s">
        <v>43</v>
      </c>
      <c r="L427" t="s">
        <v>384</v>
      </c>
      <c r="M427" t="s">
        <v>385</v>
      </c>
      <c r="N427" t="s">
        <v>386</v>
      </c>
      <c r="O427" t="s">
        <v>387</v>
      </c>
      <c r="P427" t="s">
        <v>298</v>
      </c>
    </row>
    <row r="428" spans="1:16" x14ac:dyDescent="0.25">
      <c r="A428">
        <v>10954</v>
      </c>
      <c r="B428" t="s">
        <v>382</v>
      </c>
      <c r="C428" s="1">
        <v>35871</v>
      </c>
      <c r="D428" s="1" t="str">
        <f t="shared" si="18"/>
        <v>mar</v>
      </c>
      <c r="E428" s="1" t="str">
        <f t="shared" si="19"/>
        <v>1998</v>
      </c>
      <c r="F428" s="1">
        <v>35913</v>
      </c>
      <c r="G428" s="1">
        <v>35874</v>
      </c>
      <c r="H428">
        <v>1</v>
      </c>
      <c r="I428" t="str">
        <f t="shared" si="20"/>
        <v>UPS</v>
      </c>
      <c r="J428">
        <v>27.91</v>
      </c>
      <c r="K428" t="s">
        <v>43</v>
      </c>
      <c r="L428" t="s">
        <v>384</v>
      </c>
      <c r="M428" t="s">
        <v>385</v>
      </c>
      <c r="N428" t="s">
        <v>386</v>
      </c>
      <c r="O428" t="s">
        <v>387</v>
      </c>
      <c r="P428" t="s">
        <v>298</v>
      </c>
    </row>
    <row r="429" spans="1:16" x14ac:dyDescent="0.25">
      <c r="A429">
        <v>11014</v>
      </c>
      <c r="B429" t="s">
        <v>382</v>
      </c>
      <c r="C429" s="1">
        <v>35895</v>
      </c>
      <c r="D429" s="1" t="str">
        <f t="shared" si="18"/>
        <v>abr</v>
      </c>
      <c r="E429" s="1" t="str">
        <f t="shared" si="19"/>
        <v>1998</v>
      </c>
      <c r="F429" s="1">
        <v>35923</v>
      </c>
      <c r="G429" s="1">
        <v>35900</v>
      </c>
      <c r="H429">
        <v>3</v>
      </c>
      <c r="I429" t="str">
        <f t="shared" si="20"/>
        <v>DHL</v>
      </c>
      <c r="J429">
        <v>23.6</v>
      </c>
      <c r="K429" t="s">
        <v>43</v>
      </c>
      <c r="L429" t="s">
        <v>384</v>
      </c>
      <c r="M429" t="s">
        <v>385</v>
      </c>
      <c r="N429" t="s">
        <v>386</v>
      </c>
      <c r="O429" t="s">
        <v>387</v>
      </c>
      <c r="P429" t="s">
        <v>298</v>
      </c>
    </row>
    <row r="430" spans="1:16" x14ac:dyDescent="0.25">
      <c r="A430">
        <v>11039</v>
      </c>
      <c r="B430" t="s">
        <v>382</v>
      </c>
      <c r="C430" s="1">
        <v>35906</v>
      </c>
      <c r="D430" s="1" t="str">
        <f t="shared" si="18"/>
        <v>abr</v>
      </c>
      <c r="E430" s="1" t="str">
        <f t="shared" si="19"/>
        <v>1998</v>
      </c>
      <c r="F430" s="1">
        <v>35934</v>
      </c>
      <c r="G430" s="1"/>
      <c r="H430">
        <v>2</v>
      </c>
      <c r="I430" t="str">
        <f t="shared" si="20"/>
        <v>USPS</v>
      </c>
      <c r="J430">
        <v>65</v>
      </c>
      <c r="K430" t="s">
        <v>43</v>
      </c>
      <c r="L430" t="s">
        <v>384</v>
      </c>
      <c r="M430" t="s">
        <v>385</v>
      </c>
      <c r="N430" t="s">
        <v>386</v>
      </c>
      <c r="O430" t="s">
        <v>387</v>
      </c>
      <c r="P430" t="s">
        <v>298</v>
      </c>
    </row>
    <row r="431" spans="1:16" x14ac:dyDescent="0.25">
      <c r="A431">
        <v>10307</v>
      </c>
      <c r="B431" t="s">
        <v>389</v>
      </c>
      <c r="C431" s="1">
        <v>35325</v>
      </c>
      <c r="D431" s="1" t="str">
        <f t="shared" si="18"/>
        <v>set</v>
      </c>
      <c r="E431" s="1" t="str">
        <f t="shared" si="19"/>
        <v>1996</v>
      </c>
      <c r="F431" s="1">
        <v>35353</v>
      </c>
      <c r="G431" s="1">
        <v>35333</v>
      </c>
      <c r="H431">
        <v>2</v>
      </c>
      <c r="I431" t="str">
        <f t="shared" si="20"/>
        <v>USPS</v>
      </c>
      <c r="J431">
        <v>0.56000000000000005</v>
      </c>
      <c r="K431" t="s">
        <v>42</v>
      </c>
      <c r="L431" t="s">
        <v>391</v>
      </c>
      <c r="M431" t="s">
        <v>392</v>
      </c>
      <c r="N431" t="s">
        <v>288</v>
      </c>
      <c r="O431" t="s">
        <v>393</v>
      </c>
      <c r="P431" t="s">
        <v>290</v>
      </c>
    </row>
    <row r="432" spans="1:16" x14ac:dyDescent="0.25">
      <c r="A432">
        <v>10317</v>
      </c>
      <c r="B432" t="s">
        <v>389</v>
      </c>
      <c r="C432" s="1">
        <v>35338</v>
      </c>
      <c r="D432" s="1" t="str">
        <f t="shared" si="18"/>
        <v>set</v>
      </c>
      <c r="E432" s="1" t="str">
        <f t="shared" si="19"/>
        <v>1996</v>
      </c>
      <c r="F432" s="1">
        <v>35366</v>
      </c>
      <c r="G432" s="1">
        <v>35348</v>
      </c>
      <c r="H432">
        <v>1</v>
      </c>
      <c r="I432" t="str">
        <f t="shared" si="20"/>
        <v>UPS</v>
      </c>
      <c r="J432">
        <v>12.69</v>
      </c>
      <c r="K432" t="s">
        <v>42</v>
      </c>
      <c r="L432" t="s">
        <v>391</v>
      </c>
      <c r="M432" t="s">
        <v>392</v>
      </c>
      <c r="N432" t="s">
        <v>288</v>
      </c>
      <c r="O432" t="s">
        <v>393</v>
      </c>
      <c r="P432" t="s">
        <v>290</v>
      </c>
    </row>
    <row r="433" spans="1:16" x14ac:dyDescent="0.25">
      <c r="A433">
        <v>10544</v>
      </c>
      <c r="B433" t="s">
        <v>389</v>
      </c>
      <c r="C433" s="1">
        <v>35571</v>
      </c>
      <c r="D433" s="1" t="str">
        <f t="shared" si="18"/>
        <v>mai</v>
      </c>
      <c r="E433" s="1" t="str">
        <f t="shared" si="19"/>
        <v>1997</v>
      </c>
      <c r="F433" s="1">
        <v>35599</v>
      </c>
      <c r="G433" s="1">
        <v>35580</v>
      </c>
      <c r="H433">
        <v>1</v>
      </c>
      <c r="I433" t="str">
        <f t="shared" si="20"/>
        <v>UPS</v>
      </c>
      <c r="J433">
        <v>24.91</v>
      </c>
      <c r="K433" t="s">
        <v>42</v>
      </c>
      <c r="L433" t="s">
        <v>391</v>
      </c>
      <c r="M433" t="s">
        <v>392</v>
      </c>
      <c r="N433" t="s">
        <v>288</v>
      </c>
      <c r="O433" t="s">
        <v>393</v>
      </c>
      <c r="P433" t="s">
        <v>290</v>
      </c>
    </row>
    <row r="434" spans="1:16" x14ac:dyDescent="0.25">
      <c r="A434">
        <v>10662</v>
      </c>
      <c r="B434" t="s">
        <v>389</v>
      </c>
      <c r="C434" s="1">
        <v>35682</v>
      </c>
      <c r="D434" s="1" t="str">
        <f t="shared" si="18"/>
        <v>set</v>
      </c>
      <c r="E434" s="1" t="str">
        <f t="shared" si="19"/>
        <v>1997</v>
      </c>
      <c r="F434" s="1">
        <v>35710</v>
      </c>
      <c r="G434" s="1">
        <v>35691</v>
      </c>
      <c r="H434">
        <v>2</v>
      </c>
      <c r="I434" t="str">
        <f t="shared" si="20"/>
        <v>USPS</v>
      </c>
      <c r="J434">
        <v>1.28</v>
      </c>
      <c r="K434" t="s">
        <v>42</v>
      </c>
      <c r="L434" t="s">
        <v>391</v>
      </c>
      <c r="M434" t="s">
        <v>392</v>
      </c>
      <c r="N434" t="s">
        <v>288</v>
      </c>
      <c r="O434" t="s">
        <v>393</v>
      </c>
      <c r="P434" t="s">
        <v>290</v>
      </c>
    </row>
    <row r="435" spans="1:16" x14ac:dyDescent="0.25">
      <c r="A435">
        <v>10665</v>
      </c>
      <c r="B435" t="s">
        <v>389</v>
      </c>
      <c r="C435" s="1">
        <v>35684</v>
      </c>
      <c r="D435" s="1" t="str">
        <f t="shared" si="18"/>
        <v>set</v>
      </c>
      <c r="E435" s="1" t="str">
        <f t="shared" si="19"/>
        <v>1997</v>
      </c>
      <c r="F435" s="1">
        <v>35712</v>
      </c>
      <c r="G435" s="1">
        <v>35690</v>
      </c>
      <c r="H435">
        <v>2</v>
      </c>
      <c r="I435" t="str">
        <f t="shared" si="20"/>
        <v>USPS</v>
      </c>
      <c r="J435">
        <v>26.31</v>
      </c>
      <c r="K435" t="s">
        <v>42</v>
      </c>
      <c r="L435" t="s">
        <v>391</v>
      </c>
      <c r="M435" t="s">
        <v>392</v>
      </c>
      <c r="N435" t="s">
        <v>288</v>
      </c>
      <c r="O435" t="s">
        <v>393</v>
      </c>
      <c r="P435" t="s">
        <v>290</v>
      </c>
    </row>
    <row r="436" spans="1:16" x14ac:dyDescent="0.25">
      <c r="A436">
        <v>10867</v>
      </c>
      <c r="B436" t="s">
        <v>389</v>
      </c>
      <c r="C436" s="1">
        <v>35829</v>
      </c>
      <c r="D436" s="1" t="str">
        <f t="shared" si="18"/>
        <v>fev</v>
      </c>
      <c r="E436" s="1" t="str">
        <f t="shared" si="19"/>
        <v>1998</v>
      </c>
      <c r="F436" s="1">
        <v>35871</v>
      </c>
      <c r="G436" s="1">
        <v>35837</v>
      </c>
      <c r="H436">
        <v>1</v>
      </c>
      <c r="I436" t="str">
        <f t="shared" si="20"/>
        <v>UPS</v>
      </c>
      <c r="J436">
        <v>1.93</v>
      </c>
      <c r="K436" t="s">
        <v>42</v>
      </c>
      <c r="L436" t="s">
        <v>391</v>
      </c>
      <c r="M436" t="s">
        <v>392</v>
      </c>
      <c r="N436" t="s">
        <v>288</v>
      </c>
      <c r="O436" t="s">
        <v>393</v>
      </c>
      <c r="P436" t="s">
        <v>290</v>
      </c>
    </row>
    <row r="437" spans="1:16" x14ac:dyDescent="0.25">
      <c r="A437">
        <v>10883</v>
      </c>
      <c r="B437" t="s">
        <v>389</v>
      </c>
      <c r="C437" s="1">
        <v>35838</v>
      </c>
      <c r="D437" s="1" t="str">
        <f t="shared" si="18"/>
        <v>fev</v>
      </c>
      <c r="E437" s="1" t="str">
        <f t="shared" si="19"/>
        <v>1998</v>
      </c>
      <c r="F437" s="1">
        <v>35866</v>
      </c>
      <c r="G437" s="1">
        <v>35846</v>
      </c>
      <c r="H437">
        <v>3</v>
      </c>
      <c r="I437" t="str">
        <f t="shared" si="20"/>
        <v>DHL</v>
      </c>
      <c r="J437">
        <v>0.53</v>
      </c>
      <c r="K437" t="s">
        <v>42</v>
      </c>
      <c r="L437" t="s">
        <v>391</v>
      </c>
      <c r="M437" t="s">
        <v>392</v>
      </c>
      <c r="N437" t="s">
        <v>288</v>
      </c>
      <c r="O437" t="s">
        <v>393</v>
      </c>
      <c r="P437" t="s">
        <v>290</v>
      </c>
    </row>
    <row r="438" spans="1:16" x14ac:dyDescent="0.25">
      <c r="A438">
        <v>11018</v>
      </c>
      <c r="B438" t="s">
        <v>389</v>
      </c>
      <c r="C438" s="1">
        <v>35898</v>
      </c>
      <c r="D438" s="1" t="str">
        <f t="shared" si="18"/>
        <v>abr</v>
      </c>
      <c r="E438" s="1" t="str">
        <f t="shared" si="19"/>
        <v>1998</v>
      </c>
      <c r="F438" s="1">
        <v>35926</v>
      </c>
      <c r="G438" s="1">
        <v>35901</v>
      </c>
      <c r="H438">
        <v>2</v>
      </c>
      <c r="I438" t="str">
        <f t="shared" si="20"/>
        <v>USPS</v>
      </c>
      <c r="J438">
        <v>11.65</v>
      </c>
      <c r="K438" t="s">
        <v>42</v>
      </c>
      <c r="L438" t="s">
        <v>391</v>
      </c>
      <c r="M438" t="s">
        <v>392</v>
      </c>
      <c r="N438" t="s">
        <v>288</v>
      </c>
      <c r="O438" t="s">
        <v>393</v>
      </c>
      <c r="P438" t="s">
        <v>290</v>
      </c>
    </row>
    <row r="439" spans="1:16" x14ac:dyDescent="0.25">
      <c r="A439">
        <v>10275</v>
      </c>
      <c r="B439" t="s">
        <v>395</v>
      </c>
      <c r="C439" s="1">
        <v>35284</v>
      </c>
      <c r="D439" s="1" t="str">
        <f t="shared" si="18"/>
        <v>ago</v>
      </c>
      <c r="E439" s="1" t="str">
        <f t="shared" si="19"/>
        <v>1996</v>
      </c>
      <c r="F439" s="1">
        <v>35312</v>
      </c>
      <c r="G439" s="1">
        <v>35286</v>
      </c>
      <c r="H439">
        <v>1</v>
      </c>
      <c r="I439" t="str">
        <f t="shared" si="20"/>
        <v>UPS</v>
      </c>
      <c r="J439">
        <v>26.93</v>
      </c>
      <c r="K439" t="s">
        <v>41</v>
      </c>
      <c r="L439" t="s">
        <v>397</v>
      </c>
      <c r="M439" t="s">
        <v>398</v>
      </c>
      <c r="O439" t="s">
        <v>399</v>
      </c>
      <c r="P439" t="s">
        <v>258</v>
      </c>
    </row>
    <row r="440" spans="1:16" x14ac:dyDescent="0.25">
      <c r="A440">
        <v>10300</v>
      </c>
      <c r="B440" t="s">
        <v>395</v>
      </c>
      <c r="C440" s="1">
        <v>35317</v>
      </c>
      <c r="D440" s="1" t="str">
        <f t="shared" si="18"/>
        <v>set</v>
      </c>
      <c r="E440" s="1" t="str">
        <f t="shared" si="19"/>
        <v>1996</v>
      </c>
      <c r="F440" s="1">
        <v>35345</v>
      </c>
      <c r="G440" s="1">
        <v>35326</v>
      </c>
      <c r="H440">
        <v>2</v>
      </c>
      <c r="I440" t="str">
        <f t="shared" si="20"/>
        <v>USPS</v>
      </c>
      <c r="J440">
        <v>17.68</v>
      </c>
      <c r="K440" t="s">
        <v>41</v>
      </c>
      <c r="L440" t="s">
        <v>397</v>
      </c>
      <c r="M440" t="s">
        <v>398</v>
      </c>
      <c r="O440" t="s">
        <v>399</v>
      </c>
      <c r="P440" t="s">
        <v>258</v>
      </c>
    </row>
    <row r="441" spans="1:16" x14ac:dyDescent="0.25">
      <c r="A441">
        <v>10404</v>
      </c>
      <c r="B441" t="s">
        <v>395</v>
      </c>
      <c r="C441" s="1">
        <v>35433</v>
      </c>
      <c r="D441" s="1" t="str">
        <f t="shared" si="18"/>
        <v>jan</v>
      </c>
      <c r="E441" s="1" t="str">
        <f t="shared" si="19"/>
        <v>1997</v>
      </c>
      <c r="F441" s="1">
        <v>35461</v>
      </c>
      <c r="G441" s="1">
        <v>35438</v>
      </c>
      <c r="H441">
        <v>1</v>
      </c>
      <c r="I441" t="str">
        <f t="shared" si="20"/>
        <v>UPS</v>
      </c>
      <c r="J441">
        <v>155.97</v>
      </c>
      <c r="K441" t="s">
        <v>41</v>
      </c>
      <c r="L441" t="s">
        <v>397</v>
      </c>
      <c r="M441" t="s">
        <v>398</v>
      </c>
      <c r="O441" t="s">
        <v>399</v>
      </c>
      <c r="P441" t="s">
        <v>258</v>
      </c>
    </row>
    <row r="442" spans="1:16" x14ac:dyDescent="0.25">
      <c r="A442">
        <v>10467</v>
      </c>
      <c r="B442" t="s">
        <v>395</v>
      </c>
      <c r="C442" s="1">
        <v>35495</v>
      </c>
      <c r="D442" s="1" t="str">
        <f t="shared" si="18"/>
        <v>mar</v>
      </c>
      <c r="E442" s="1" t="str">
        <f t="shared" si="19"/>
        <v>1997</v>
      </c>
      <c r="F442" s="1">
        <v>35523</v>
      </c>
      <c r="G442" s="1">
        <v>35500</v>
      </c>
      <c r="H442">
        <v>2</v>
      </c>
      <c r="I442" t="str">
        <f t="shared" si="20"/>
        <v>USPS</v>
      </c>
      <c r="J442">
        <v>4.93</v>
      </c>
      <c r="K442" t="s">
        <v>41</v>
      </c>
      <c r="L442" t="s">
        <v>397</v>
      </c>
      <c r="M442" t="s">
        <v>398</v>
      </c>
      <c r="O442" t="s">
        <v>399</v>
      </c>
      <c r="P442" t="s">
        <v>258</v>
      </c>
    </row>
    <row r="443" spans="1:16" x14ac:dyDescent="0.25">
      <c r="A443">
        <v>10635</v>
      </c>
      <c r="B443" t="s">
        <v>395</v>
      </c>
      <c r="C443" s="1">
        <v>35660</v>
      </c>
      <c r="D443" s="1" t="str">
        <f t="shared" si="18"/>
        <v>ago</v>
      </c>
      <c r="E443" s="1" t="str">
        <f t="shared" si="19"/>
        <v>1997</v>
      </c>
      <c r="F443" s="1">
        <v>35688</v>
      </c>
      <c r="G443" s="1">
        <v>35663</v>
      </c>
      <c r="H443">
        <v>3</v>
      </c>
      <c r="I443" t="str">
        <f t="shared" si="20"/>
        <v>DHL</v>
      </c>
      <c r="J443">
        <v>47.46</v>
      </c>
      <c r="K443" t="s">
        <v>41</v>
      </c>
      <c r="L443" t="s">
        <v>397</v>
      </c>
      <c r="M443" t="s">
        <v>398</v>
      </c>
      <c r="O443" t="s">
        <v>399</v>
      </c>
      <c r="P443" t="s">
        <v>258</v>
      </c>
    </row>
    <row r="444" spans="1:16" x14ac:dyDescent="0.25">
      <c r="A444">
        <v>10754</v>
      </c>
      <c r="B444" t="s">
        <v>395</v>
      </c>
      <c r="C444" s="1">
        <v>35759</v>
      </c>
      <c r="D444" s="1" t="str">
        <f t="shared" si="18"/>
        <v>nov</v>
      </c>
      <c r="E444" s="1" t="str">
        <f t="shared" si="19"/>
        <v>1997</v>
      </c>
      <c r="F444" s="1">
        <v>35787</v>
      </c>
      <c r="G444" s="1">
        <v>35761</v>
      </c>
      <c r="H444">
        <v>3</v>
      </c>
      <c r="I444" t="str">
        <f t="shared" si="20"/>
        <v>DHL</v>
      </c>
      <c r="J444">
        <v>2.38</v>
      </c>
      <c r="K444" t="s">
        <v>41</v>
      </c>
      <c r="L444" t="s">
        <v>397</v>
      </c>
      <c r="M444" t="s">
        <v>398</v>
      </c>
      <c r="O444" t="s">
        <v>399</v>
      </c>
      <c r="P444" t="s">
        <v>258</v>
      </c>
    </row>
    <row r="445" spans="1:16" x14ac:dyDescent="0.25">
      <c r="A445">
        <v>10784</v>
      </c>
      <c r="B445" t="s">
        <v>395</v>
      </c>
      <c r="C445" s="1">
        <v>35782</v>
      </c>
      <c r="D445" s="1" t="str">
        <f t="shared" si="18"/>
        <v>dez</v>
      </c>
      <c r="E445" s="1" t="str">
        <f t="shared" si="19"/>
        <v>1997</v>
      </c>
      <c r="F445" s="1">
        <v>35810</v>
      </c>
      <c r="G445" s="1">
        <v>35786</v>
      </c>
      <c r="H445">
        <v>3</v>
      </c>
      <c r="I445" t="str">
        <f t="shared" si="20"/>
        <v>DHL</v>
      </c>
      <c r="J445">
        <v>70.09</v>
      </c>
      <c r="K445" t="s">
        <v>41</v>
      </c>
      <c r="L445" t="s">
        <v>397</v>
      </c>
      <c r="M445" t="s">
        <v>398</v>
      </c>
      <c r="O445" t="s">
        <v>399</v>
      </c>
      <c r="P445" t="s">
        <v>258</v>
      </c>
    </row>
    <row r="446" spans="1:16" x14ac:dyDescent="0.25">
      <c r="A446">
        <v>10818</v>
      </c>
      <c r="B446" t="s">
        <v>395</v>
      </c>
      <c r="C446" s="1">
        <v>35802</v>
      </c>
      <c r="D446" s="1" t="str">
        <f t="shared" si="18"/>
        <v>jan</v>
      </c>
      <c r="E446" s="1" t="str">
        <f t="shared" si="19"/>
        <v>1998</v>
      </c>
      <c r="F446" s="1">
        <v>35830</v>
      </c>
      <c r="G446" s="1">
        <v>35807</v>
      </c>
      <c r="H446">
        <v>3</v>
      </c>
      <c r="I446" t="str">
        <f t="shared" si="20"/>
        <v>DHL</v>
      </c>
      <c r="J446">
        <v>65.48</v>
      </c>
      <c r="K446" t="s">
        <v>41</v>
      </c>
      <c r="L446" t="s">
        <v>397</v>
      </c>
      <c r="M446" t="s">
        <v>398</v>
      </c>
      <c r="O446" t="s">
        <v>399</v>
      </c>
      <c r="P446" t="s">
        <v>258</v>
      </c>
    </row>
    <row r="447" spans="1:16" x14ac:dyDescent="0.25">
      <c r="A447">
        <v>10939</v>
      </c>
      <c r="B447" t="s">
        <v>395</v>
      </c>
      <c r="C447" s="1">
        <v>35864</v>
      </c>
      <c r="D447" s="1" t="str">
        <f t="shared" si="18"/>
        <v>mar</v>
      </c>
      <c r="E447" s="1" t="str">
        <f t="shared" si="19"/>
        <v>1998</v>
      </c>
      <c r="F447" s="1">
        <v>35892</v>
      </c>
      <c r="G447" s="1">
        <v>35867</v>
      </c>
      <c r="H447">
        <v>2</v>
      </c>
      <c r="I447" t="str">
        <f t="shared" si="20"/>
        <v>USPS</v>
      </c>
      <c r="J447">
        <v>76.33</v>
      </c>
      <c r="K447" t="s">
        <v>41</v>
      </c>
      <c r="L447" t="s">
        <v>397</v>
      </c>
      <c r="M447" t="s">
        <v>398</v>
      </c>
      <c r="O447" t="s">
        <v>399</v>
      </c>
      <c r="P447" t="s">
        <v>258</v>
      </c>
    </row>
    <row r="448" spans="1:16" x14ac:dyDescent="0.25">
      <c r="A448">
        <v>10950</v>
      </c>
      <c r="B448" t="s">
        <v>395</v>
      </c>
      <c r="C448" s="1">
        <v>35870</v>
      </c>
      <c r="D448" s="1" t="str">
        <f t="shared" si="18"/>
        <v>mar</v>
      </c>
      <c r="E448" s="1" t="str">
        <f t="shared" si="19"/>
        <v>1998</v>
      </c>
      <c r="F448" s="1">
        <v>35898</v>
      </c>
      <c r="G448" s="1">
        <v>35877</v>
      </c>
      <c r="H448">
        <v>2</v>
      </c>
      <c r="I448" t="str">
        <f t="shared" si="20"/>
        <v>USPS</v>
      </c>
      <c r="J448">
        <v>2.5</v>
      </c>
      <c r="K448" t="s">
        <v>41</v>
      </c>
      <c r="L448" t="s">
        <v>397</v>
      </c>
      <c r="M448" t="s">
        <v>398</v>
      </c>
      <c r="O448" t="s">
        <v>399</v>
      </c>
      <c r="P448" t="s">
        <v>258</v>
      </c>
    </row>
    <row r="449" spans="1:16" x14ac:dyDescent="0.25">
      <c r="A449">
        <v>10529</v>
      </c>
      <c r="B449" t="s">
        <v>401</v>
      </c>
      <c r="C449" s="1">
        <v>35557</v>
      </c>
      <c r="D449" s="1" t="str">
        <f t="shared" si="18"/>
        <v>mai</v>
      </c>
      <c r="E449" s="1" t="str">
        <f t="shared" si="19"/>
        <v>1997</v>
      </c>
      <c r="F449" s="1">
        <v>35585</v>
      </c>
      <c r="G449" s="1">
        <v>35559</v>
      </c>
      <c r="H449">
        <v>2</v>
      </c>
      <c r="I449" t="str">
        <f t="shared" si="20"/>
        <v>USPS</v>
      </c>
      <c r="J449">
        <v>66.69</v>
      </c>
      <c r="K449" t="s">
        <v>40</v>
      </c>
      <c r="L449" t="s">
        <v>403</v>
      </c>
      <c r="M449" t="s">
        <v>404</v>
      </c>
      <c r="O449" t="s">
        <v>405</v>
      </c>
      <c r="P449" t="s">
        <v>406</v>
      </c>
    </row>
    <row r="450" spans="1:16" x14ac:dyDescent="0.25">
      <c r="A450">
        <v>10649</v>
      </c>
      <c r="B450" t="s">
        <v>401</v>
      </c>
      <c r="C450" s="1">
        <v>35670</v>
      </c>
      <c r="D450" s="1" t="str">
        <f t="shared" si="18"/>
        <v>ago</v>
      </c>
      <c r="E450" s="1" t="str">
        <f t="shared" si="19"/>
        <v>1997</v>
      </c>
      <c r="F450" s="1">
        <v>35698</v>
      </c>
      <c r="G450" s="1">
        <v>35671</v>
      </c>
      <c r="H450">
        <v>3</v>
      </c>
      <c r="I450" t="str">
        <f t="shared" si="20"/>
        <v>DHL</v>
      </c>
      <c r="J450">
        <v>6.2</v>
      </c>
      <c r="K450" t="s">
        <v>40</v>
      </c>
      <c r="L450" t="s">
        <v>403</v>
      </c>
      <c r="M450" t="s">
        <v>404</v>
      </c>
      <c r="O450" t="s">
        <v>405</v>
      </c>
      <c r="P450" t="s">
        <v>406</v>
      </c>
    </row>
    <row r="451" spans="1:16" x14ac:dyDescent="0.25">
      <c r="A451">
        <v>10760</v>
      </c>
      <c r="B451" t="s">
        <v>401</v>
      </c>
      <c r="C451" s="1">
        <v>35765</v>
      </c>
      <c r="D451" s="1" t="str">
        <f t="shared" ref="D451:D514" si="21">TEXT(C451,"mmm")</f>
        <v>dez</v>
      </c>
      <c r="E451" s="1" t="str">
        <f t="shared" ref="E451:E514" si="22">TEXT(C451,"aaa")</f>
        <v>1997</v>
      </c>
      <c r="F451" s="1">
        <v>35793</v>
      </c>
      <c r="G451" s="1">
        <v>35774</v>
      </c>
      <c r="H451">
        <v>1</v>
      </c>
      <c r="I451" t="str">
        <f t="shared" ref="I451:I514" si="23">CHOOSE(H451,"UPS","USPS","DHL")</f>
        <v>UPS</v>
      </c>
      <c r="J451">
        <v>155.63999999999999</v>
      </c>
      <c r="K451" t="s">
        <v>40</v>
      </c>
      <c r="L451" t="s">
        <v>403</v>
      </c>
      <c r="M451" t="s">
        <v>404</v>
      </c>
      <c r="O451" t="s">
        <v>405</v>
      </c>
      <c r="P451" t="s">
        <v>406</v>
      </c>
    </row>
    <row r="452" spans="1:16" x14ac:dyDescent="0.25">
      <c r="A452">
        <v>10892</v>
      </c>
      <c r="B452" t="s">
        <v>401</v>
      </c>
      <c r="C452" s="1">
        <v>35843</v>
      </c>
      <c r="D452" s="1" t="str">
        <f t="shared" si="21"/>
        <v>fev</v>
      </c>
      <c r="E452" s="1" t="str">
        <f t="shared" si="22"/>
        <v>1998</v>
      </c>
      <c r="F452" s="1">
        <v>35871</v>
      </c>
      <c r="G452" s="1">
        <v>35845</v>
      </c>
      <c r="H452">
        <v>2</v>
      </c>
      <c r="I452" t="str">
        <f t="shared" si="23"/>
        <v>USPS</v>
      </c>
      <c r="J452">
        <v>120.27</v>
      </c>
      <c r="K452" t="s">
        <v>40</v>
      </c>
      <c r="L452" t="s">
        <v>403</v>
      </c>
      <c r="M452" t="s">
        <v>404</v>
      </c>
      <c r="O452" t="s">
        <v>405</v>
      </c>
      <c r="P452" t="s">
        <v>406</v>
      </c>
    </row>
    <row r="453" spans="1:16" x14ac:dyDescent="0.25">
      <c r="A453">
        <v>10896</v>
      </c>
      <c r="B453" t="s">
        <v>401</v>
      </c>
      <c r="C453" s="1">
        <v>35845</v>
      </c>
      <c r="D453" s="1" t="str">
        <f t="shared" si="21"/>
        <v>fev</v>
      </c>
      <c r="E453" s="1" t="str">
        <f t="shared" si="22"/>
        <v>1998</v>
      </c>
      <c r="F453" s="1">
        <v>35873</v>
      </c>
      <c r="G453" s="1">
        <v>35853</v>
      </c>
      <c r="H453">
        <v>3</v>
      </c>
      <c r="I453" t="str">
        <f t="shared" si="23"/>
        <v>DHL</v>
      </c>
      <c r="J453">
        <v>32.450000000000003</v>
      </c>
      <c r="K453" t="s">
        <v>40</v>
      </c>
      <c r="L453" t="s">
        <v>403</v>
      </c>
      <c r="M453" t="s">
        <v>404</v>
      </c>
      <c r="O453" t="s">
        <v>405</v>
      </c>
      <c r="P453" t="s">
        <v>406</v>
      </c>
    </row>
    <row r="454" spans="1:16" x14ac:dyDescent="0.25">
      <c r="A454">
        <v>10978</v>
      </c>
      <c r="B454" t="s">
        <v>401</v>
      </c>
      <c r="C454" s="1">
        <v>35880</v>
      </c>
      <c r="D454" s="1" t="str">
        <f t="shared" si="21"/>
        <v>mar</v>
      </c>
      <c r="E454" s="1" t="str">
        <f t="shared" si="22"/>
        <v>1998</v>
      </c>
      <c r="F454" s="1">
        <v>35908</v>
      </c>
      <c r="G454" s="1">
        <v>35908</v>
      </c>
      <c r="H454">
        <v>2</v>
      </c>
      <c r="I454" t="str">
        <f t="shared" si="23"/>
        <v>USPS</v>
      </c>
      <c r="J454">
        <v>32.82</v>
      </c>
      <c r="K454" t="s">
        <v>40</v>
      </c>
      <c r="L454" t="s">
        <v>403</v>
      </c>
      <c r="M454" t="s">
        <v>404</v>
      </c>
      <c r="O454" t="s">
        <v>405</v>
      </c>
      <c r="P454" t="s">
        <v>406</v>
      </c>
    </row>
    <row r="455" spans="1:16" x14ac:dyDescent="0.25">
      <c r="A455">
        <v>11004</v>
      </c>
      <c r="B455" t="s">
        <v>401</v>
      </c>
      <c r="C455" s="1">
        <v>35892</v>
      </c>
      <c r="D455" s="1" t="str">
        <f t="shared" si="21"/>
        <v>abr</v>
      </c>
      <c r="E455" s="1" t="str">
        <f t="shared" si="22"/>
        <v>1998</v>
      </c>
      <c r="F455" s="1">
        <v>35920</v>
      </c>
      <c r="G455" s="1">
        <v>35905</v>
      </c>
      <c r="H455">
        <v>1</v>
      </c>
      <c r="I455" t="str">
        <f t="shared" si="23"/>
        <v>UPS</v>
      </c>
      <c r="J455">
        <v>44.84</v>
      </c>
      <c r="K455" t="s">
        <v>40</v>
      </c>
      <c r="L455" t="s">
        <v>403</v>
      </c>
      <c r="M455" t="s">
        <v>404</v>
      </c>
      <c r="O455" t="s">
        <v>405</v>
      </c>
      <c r="P455" t="s">
        <v>406</v>
      </c>
    </row>
    <row r="456" spans="1:16" x14ac:dyDescent="0.25">
      <c r="A456">
        <v>10332</v>
      </c>
      <c r="B456" t="s">
        <v>408</v>
      </c>
      <c r="C456" s="1">
        <v>35355</v>
      </c>
      <c r="D456" s="1" t="str">
        <f t="shared" si="21"/>
        <v>out</v>
      </c>
      <c r="E456" s="1" t="str">
        <f t="shared" si="22"/>
        <v>1996</v>
      </c>
      <c r="F456" s="1">
        <v>35397</v>
      </c>
      <c r="G456" s="1">
        <v>35359</v>
      </c>
      <c r="H456">
        <v>2</v>
      </c>
      <c r="I456" t="str">
        <f t="shared" si="23"/>
        <v>USPS</v>
      </c>
      <c r="J456">
        <v>52.84</v>
      </c>
      <c r="K456" t="s">
        <v>39</v>
      </c>
      <c r="L456" t="s">
        <v>410</v>
      </c>
      <c r="M456" t="s">
        <v>411</v>
      </c>
      <c r="N456" t="s">
        <v>412</v>
      </c>
      <c r="O456" t="s">
        <v>413</v>
      </c>
      <c r="P456" t="s">
        <v>156</v>
      </c>
    </row>
    <row r="457" spans="1:16" x14ac:dyDescent="0.25">
      <c r="A457">
        <v>10339</v>
      </c>
      <c r="B457" t="s">
        <v>408</v>
      </c>
      <c r="C457" s="1">
        <v>35366</v>
      </c>
      <c r="D457" s="1" t="str">
        <f t="shared" si="21"/>
        <v>out</v>
      </c>
      <c r="E457" s="1" t="str">
        <f t="shared" si="22"/>
        <v>1996</v>
      </c>
      <c r="F457" s="1">
        <v>35394</v>
      </c>
      <c r="G457" s="1">
        <v>35373</v>
      </c>
      <c r="H457">
        <v>2</v>
      </c>
      <c r="I457" t="str">
        <f t="shared" si="23"/>
        <v>USPS</v>
      </c>
      <c r="J457">
        <v>15.66</v>
      </c>
      <c r="K457" t="s">
        <v>39</v>
      </c>
      <c r="L457" t="s">
        <v>410</v>
      </c>
      <c r="M457" t="s">
        <v>411</v>
      </c>
      <c r="N457" t="s">
        <v>412</v>
      </c>
      <c r="O457" t="s">
        <v>413</v>
      </c>
      <c r="P457" t="s">
        <v>156</v>
      </c>
    </row>
    <row r="458" spans="1:16" x14ac:dyDescent="0.25">
      <c r="A458">
        <v>10376</v>
      </c>
      <c r="B458" t="s">
        <v>408</v>
      </c>
      <c r="C458" s="1">
        <v>35408</v>
      </c>
      <c r="D458" s="1" t="str">
        <f t="shared" si="21"/>
        <v>dez</v>
      </c>
      <c r="E458" s="1" t="str">
        <f t="shared" si="22"/>
        <v>1996</v>
      </c>
      <c r="F458" s="1">
        <v>35436</v>
      </c>
      <c r="G458" s="1">
        <v>35412</v>
      </c>
      <c r="H458">
        <v>2</v>
      </c>
      <c r="I458" t="str">
        <f t="shared" si="23"/>
        <v>USPS</v>
      </c>
      <c r="J458">
        <v>20.39</v>
      </c>
      <c r="K458" t="s">
        <v>39</v>
      </c>
      <c r="L458" t="s">
        <v>410</v>
      </c>
      <c r="M458" t="s">
        <v>411</v>
      </c>
      <c r="N458" t="s">
        <v>412</v>
      </c>
      <c r="O458" t="s">
        <v>413</v>
      </c>
      <c r="P458" t="s">
        <v>156</v>
      </c>
    </row>
    <row r="459" spans="1:16" x14ac:dyDescent="0.25">
      <c r="A459">
        <v>10424</v>
      </c>
      <c r="B459" t="s">
        <v>408</v>
      </c>
      <c r="C459" s="1">
        <v>35453</v>
      </c>
      <c r="D459" s="1" t="str">
        <f t="shared" si="21"/>
        <v>jan</v>
      </c>
      <c r="E459" s="1" t="str">
        <f t="shared" si="22"/>
        <v>1997</v>
      </c>
      <c r="F459" s="1">
        <v>35481</v>
      </c>
      <c r="G459" s="1">
        <v>35457</v>
      </c>
      <c r="H459">
        <v>2</v>
      </c>
      <c r="I459" t="str">
        <f t="shared" si="23"/>
        <v>USPS</v>
      </c>
      <c r="J459">
        <v>370.61</v>
      </c>
      <c r="K459" t="s">
        <v>39</v>
      </c>
      <c r="L459" t="s">
        <v>410</v>
      </c>
      <c r="M459" t="s">
        <v>411</v>
      </c>
      <c r="N459" t="s">
        <v>412</v>
      </c>
      <c r="O459" t="s">
        <v>413</v>
      </c>
      <c r="P459" t="s">
        <v>156</v>
      </c>
    </row>
    <row r="460" spans="1:16" x14ac:dyDescent="0.25">
      <c r="A460">
        <v>10439</v>
      </c>
      <c r="B460" t="s">
        <v>408</v>
      </c>
      <c r="C460" s="1">
        <v>35468</v>
      </c>
      <c r="D460" s="1" t="str">
        <f t="shared" si="21"/>
        <v>fev</v>
      </c>
      <c r="E460" s="1" t="str">
        <f t="shared" si="22"/>
        <v>1997</v>
      </c>
      <c r="F460" s="1">
        <v>35496</v>
      </c>
      <c r="G460" s="1">
        <v>35471</v>
      </c>
      <c r="H460">
        <v>3</v>
      </c>
      <c r="I460" t="str">
        <f t="shared" si="23"/>
        <v>DHL</v>
      </c>
      <c r="J460">
        <v>4.07</v>
      </c>
      <c r="K460" t="s">
        <v>39</v>
      </c>
      <c r="L460" t="s">
        <v>410</v>
      </c>
      <c r="M460" t="s">
        <v>411</v>
      </c>
      <c r="N460" t="s">
        <v>412</v>
      </c>
      <c r="O460" t="s">
        <v>413</v>
      </c>
      <c r="P460" t="s">
        <v>156</v>
      </c>
    </row>
    <row r="461" spans="1:16" x14ac:dyDescent="0.25">
      <c r="A461">
        <v>10505</v>
      </c>
      <c r="B461" t="s">
        <v>408</v>
      </c>
      <c r="C461" s="1">
        <v>35534</v>
      </c>
      <c r="D461" s="1" t="str">
        <f t="shared" si="21"/>
        <v>abr</v>
      </c>
      <c r="E461" s="1" t="str">
        <f t="shared" si="22"/>
        <v>1997</v>
      </c>
      <c r="F461" s="1">
        <v>35562</v>
      </c>
      <c r="G461" s="1">
        <v>35541</v>
      </c>
      <c r="H461">
        <v>3</v>
      </c>
      <c r="I461" t="str">
        <f t="shared" si="23"/>
        <v>DHL</v>
      </c>
      <c r="J461">
        <v>7.13</v>
      </c>
      <c r="K461" t="s">
        <v>39</v>
      </c>
      <c r="L461" t="s">
        <v>410</v>
      </c>
      <c r="M461" t="s">
        <v>411</v>
      </c>
      <c r="N461" t="s">
        <v>412</v>
      </c>
      <c r="O461" t="s">
        <v>413</v>
      </c>
      <c r="P461" t="s">
        <v>156</v>
      </c>
    </row>
    <row r="462" spans="1:16" x14ac:dyDescent="0.25">
      <c r="A462">
        <v>10565</v>
      </c>
      <c r="B462" t="s">
        <v>408</v>
      </c>
      <c r="C462" s="1">
        <v>35592</v>
      </c>
      <c r="D462" s="1" t="str">
        <f t="shared" si="21"/>
        <v>jun</v>
      </c>
      <c r="E462" s="1" t="str">
        <f t="shared" si="22"/>
        <v>1997</v>
      </c>
      <c r="F462" s="1">
        <v>35620</v>
      </c>
      <c r="G462" s="1">
        <v>35599</v>
      </c>
      <c r="H462">
        <v>2</v>
      </c>
      <c r="I462" t="str">
        <f t="shared" si="23"/>
        <v>USPS</v>
      </c>
      <c r="J462">
        <v>7.15</v>
      </c>
      <c r="K462" t="s">
        <v>39</v>
      </c>
      <c r="L462" t="s">
        <v>410</v>
      </c>
      <c r="M462" t="s">
        <v>411</v>
      </c>
      <c r="N462" t="s">
        <v>412</v>
      </c>
      <c r="O462" t="s">
        <v>413</v>
      </c>
      <c r="P462" t="s">
        <v>156</v>
      </c>
    </row>
    <row r="463" spans="1:16" x14ac:dyDescent="0.25">
      <c r="A463">
        <v>10570</v>
      </c>
      <c r="B463" t="s">
        <v>408</v>
      </c>
      <c r="C463" s="1">
        <v>35598</v>
      </c>
      <c r="D463" s="1" t="str">
        <f t="shared" si="21"/>
        <v>jun</v>
      </c>
      <c r="E463" s="1" t="str">
        <f t="shared" si="22"/>
        <v>1997</v>
      </c>
      <c r="F463" s="1">
        <v>35626</v>
      </c>
      <c r="G463" s="1">
        <v>35600</v>
      </c>
      <c r="H463">
        <v>3</v>
      </c>
      <c r="I463" t="str">
        <f t="shared" si="23"/>
        <v>DHL</v>
      </c>
      <c r="J463">
        <v>188.99</v>
      </c>
      <c r="K463" t="s">
        <v>39</v>
      </c>
      <c r="L463" t="s">
        <v>410</v>
      </c>
      <c r="M463" t="s">
        <v>411</v>
      </c>
      <c r="N463" t="s">
        <v>412</v>
      </c>
      <c r="O463" t="s">
        <v>413</v>
      </c>
      <c r="P463" t="s">
        <v>156</v>
      </c>
    </row>
    <row r="464" spans="1:16" x14ac:dyDescent="0.25">
      <c r="A464">
        <v>10590</v>
      </c>
      <c r="B464" t="s">
        <v>408</v>
      </c>
      <c r="C464" s="1">
        <v>35618</v>
      </c>
      <c r="D464" s="1" t="str">
        <f t="shared" si="21"/>
        <v>jul</v>
      </c>
      <c r="E464" s="1" t="str">
        <f t="shared" si="22"/>
        <v>1997</v>
      </c>
      <c r="F464" s="1">
        <v>35646</v>
      </c>
      <c r="G464" s="1">
        <v>35625</v>
      </c>
      <c r="H464">
        <v>3</v>
      </c>
      <c r="I464" t="str">
        <f t="shared" si="23"/>
        <v>DHL</v>
      </c>
      <c r="J464">
        <v>44.77</v>
      </c>
      <c r="K464" t="s">
        <v>39</v>
      </c>
      <c r="L464" t="s">
        <v>410</v>
      </c>
      <c r="M464" t="s">
        <v>411</v>
      </c>
      <c r="N464" t="s">
        <v>412</v>
      </c>
      <c r="O464" t="s">
        <v>413</v>
      </c>
      <c r="P464" t="s">
        <v>156</v>
      </c>
    </row>
    <row r="465" spans="1:16" x14ac:dyDescent="0.25">
      <c r="A465">
        <v>10605</v>
      </c>
      <c r="B465" t="s">
        <v>408</v>
      </c>
      <c r="C465" s="1">
        <v>35632</v>
      </c>
      <c r="D465" s="1" t="str">
        <f t="shared" si="21"/>
        <v>jul</v>
      </c>
      <c r="E465" s="1" t="str">
        <f t="shared" si="22"/>
        <v>1997</v>
      </c>
      <c r="F465" s="1">
        <v>35660</v>
      </c>
      <c r="G465" s="1">
        <v>35640</v>
      </c>
      <c r="H465">
        <v>2</v>
      </c>
      <c r="I465" t="str">
        <f t="shared" si="23"/>
        <v>USPS</v>
      </c>
      <c r="J465">
        <v>379.13</v>
      </c>
      <c r="K465" t="s">
        <v>39</v>
      </c>
      <c r="L465" t="s">
        <v>410</v>
      </c>
      <c r="M465" t="s">
        <v>411</v>
      </c>
      <c r="N465" t="s">
        <v>412</v>
      </c>
      <c r="O465" t="s">
        <v>413</v>
      </c>
      <c r="P465" t="s">
        <v>156</v>
      </c>
    </row>
    <row r="466" spans="1:16" x14ac:dyDescent="0.25">
      <c r="A466">
        <v>10618</v>
      </c>
      <c r="B466" t="s">
        <v>408</v>
      </c>
      <c r="C466" s="1">
        <v>35643</v>
      </c>
      <c r="D466" s="1" t="str">
        <f t="shared" si="21"/>
        <v>ago</v>
      </c>
      <c r="E466" s="1" t="str">
        <f t="shared" si="22"/>
        <v>1997</v>
      </c>
      <c r="F466" s="1">
        <v>35685</v>
      </c>
      <c r="G466" s="1">
        <v>35650</v>
      </c>
      <c r="H466">
        <v>1</v>
      </c>
      <c r="I466" t="str">
        <f t="shared" si="23"/>
        <v>UPS</v>
      </c>
      <c r="J466">
        <v>154.68</v>
      </c>
      <c r="K466" t="s">
        <v>39</v>
      </c>
      <c r="L466" t="s">
        <v>410</v>
      </c>
      <c r="M466" t="s">
        <v>411</v>
      </c>
      <c r="N466" t="s">
        <v>412</v>
      </c>
      <c r="O466" t="s">
        <v>413</v>
      </c>
      <c r="P466" t="s">
        <v>156</v>
      </c>
    </row>
    <row r="467" spans="1:16" x14ac:dyDescent="0.25">
      <c r="A467">
        <v>10619</v>
      </c>
      <c r="B467" t="s">
        <v>408</v>
      </c>
      <c r="C467" s="1">
        <v>35646</v>
      </c>
      <c r="D467" s="1" t="str">
        <f t="shared" si="21"/>
        <v>ago</v>
      </c>
      <c r="E467" s="1" t="str">
        <f t="shared" si="22"/>
        <v>1997</v>
      </c>
      <c r="F467" s="1">
        <v>35674</v>
      </c>
      <c r="G467" s="1">
        <v>35649</v>
      </c>
      <c r="H467">
        <v>3</v>
      </c>
      <c r="I467" t="str">
        <f t="shared" si="23"/>
        <v>DHL</v>
      </c>
      <c r="J467">
        <v>91.05</v>
      </c>
      <c r="K467" t="s">
        <v>39</v>
      </c>
      <c r="L467" t="s">
        <v>410</v>
      </c>
      <c r="M467" t="s">
        <v>411</v>
      </c>
      <c r="N467" t="s">
        <v>412</v>
      </c>
      <c r="O467" t="s">
        <v>413</v>
      </c>
      <c r="P467" t="s">
        <v>156</v>
      </c>
    </row>
    <row r="468" spans="1:16" x14ac:dyDescent="0.25">
      <c r="A468">
        <v>10724</v>
      </c>
      <c r="B468" t="s">
        <v>408</v>
      </c>
      <c r="C468" s="1">
        <v>35733</v>
      </c>
      <c r="D468" s="1" t="str">
        <f t="shared" si="21"/>
        <v>out</v>
      </c>
      <c r="E468" s="1" t="str">
        <f t="shared" si="22"/>
        <v>1997</v>
      </c>
      <c r="F468" s="1">
        <v>35775</v>
      </c>
      <c r="G468" s="1">
        <v>35739</v>
      </c>
      <c r="H468">
        <v>2</v>
      </c>
      <c r="I468" t="str">
        <f t="shared" si="23"/>
        <v>USPS</v>
      </c>
      <c r="J468">
        <v>57.75</v>
      </c>
      <c r="K468" t="s">
        <v>39</v>
      </c>
      <c r="L468" t="s">
        <v>410</v>
      </c>
      <c r="M468" t="s">
        <v>411</v>
      </c>
      <c r="N468" t="s">
        <v>412</v>
      </c>
      <c r="O468" t="s">
        <v>413</v>
      </c>
      <c r="P468" t="s">
        <v>156</v>
      </c>
    </row>
    <row r="469" spans="1:16" x14ac:dyDescent="0.25">
      <c r="A469">
        <v>10277</v>
      </c>
      <c r="B469" t="s">
        <v>415</v>
      </c>
      <c r="C469" s="1">
        <v>35286</v>
      </c>
      <c r="D469" s="1" t="str">
        <f t="shared" si="21"/>
        <v>ago</v>
      </c>
      <c r="E469" s="1" t="str">
        <f t="shared" si="22"/>
        <v>1996</v>
      </c>
      <c r="F469" s="1">
        <v>35314</v>
      </c>
      <c r="G469" s="1">
        <v>35290</v>
      </c>
      <c r="H469">
        <v>3</v>
      </c>
      <c r="I469" t="str">
        <f t="shared" si="23"/>
        <v>DHL</v>
      </c>
      <c r="J469">
        <v>125.77</v>
      </c>
      <c r="K469" t="s">
        <v>38</v>
      </c>
      <c r="L469" t="s">
        <v>417</v>
      </c>
      <c r="M469" t="s">
        <v>418</v>
      </c>
      <c r="O469" t="s">
        <v>419</v>
      </c>
      <c r="P469" t="s">
        <v>94</v>
      </c>
    </row>
    <row r="470" spans="1:16" x14ac:dyDescent="0.25">
      <c r="A470">
        <v>10575</v>
      </c>
      <c r="B470" t="s">
        <v>415</v>
      </c>
      <c r="C470" s="1">
        <v>35601</v>
      </c>
      <c r="D470" s="1" t="str">
        <f t="shared" si="21"/>
        <v>jun</v>
      </c>
      <c r="E470" s="1" t="str">
        <f t="shared" si="22"/>
        <v>1997</v>
      </c>
      <c r="F470" s="1">
        <v>35615</v>
      </c>
      <c r="G470" s="1">
        <v>35611</v>
      </c>
      <c r="H470">
        <v>1</v>
      </c>
      <c r="I470" t="str">
        <f t="shared" si="23"/>
        <v>UPS</v>
      </c>
      <c r="J470">
        <v>127.34</v>
      </c>
      <c r="K470" t="s">
        <v>38</v>
      </c>
      <c r="L470" t="s">
        <v>417</v>
      </c>
      <c r="M470" t="s">
        <v>418</v>
      </c>
      <c r="O470" t="s">
        <v>419</v>
      </c>
      <c r="P470" t="s">
        <v>94</v>
      </c>
    </row>
    <row r="471" spans="1:16" x14ac:dyDescent="0.25">
      <c r="A471">
        <v>10699</v>
      </c>
      <c r="B471" t="s">
        <v>415</v>
      </c>
      <c r="C471" s="1">
        <v>35712</v>
      </c>
      <c r="D471" s="1" t="str">
        <f t="shared" si="21"/>
        <v>out</v>
      </c>
      <c r="E471" s="1" t="str">
        <f t="shared" si="22"/>
        <v>1997</v>
      </c>
      <c r="F471" s="1">
        <v>35740</v>
      </c>
      <c r="G471" s="1">
        <v>35716</v>
      </c>
      <c r="H471">
        <v>3</v>
      </c>
      <c r="I471" t="str">
        <f t="shared" si="23"/>
        <v>DHL</v>
      </c>
      <c r="J471">
        <v>0.57999999999999996</v>
      </c>
      <c r="K471" t="s">
        <v>38</v>
      </c>
      <c r="L471" t="s">
        <v>417</v>
      </c>
      <c r="M471" t="s">
        <v>418</v>
      </c>
      <c r="O471" t="s">
        <v>419</v>
      </c>
      <c r="P471" t="s">
        <v>94</v>
      </c>
    </row>
    <row r="472" spans="1:16" x14ac:dyDescent="0.25">
      <c r="A472">
        <v>10779</v>
      </c>
      <c r="B472" t="s">
        <v>415</v>
      </c>
      <c r="C472" s="1">
        <v>35780</v>
      </c>
      <c r="D472" s="1" t="str">
        <f t="shared" si="21"/>
        <v>dez</v>
      </c>
      <c r="E472" s="1" t="str">
        <f t="shared" si="22"/>
        <v>1997</v>
      </c>
      <c r="F472" s="1">
        <v>35808</v>
      </c>
      <c r="G472" s="1">
        <v>35809</v>
      </c>
      <c r="H472">
        <v>2</v>
      </c>
      <c r="I472" t="str">
        <f t="shared" si="23"/>
        <v>USPS</v>
      </c>
      <c r="J472">
        <v>58.13</v>
      </c>
      <c r="K472" t="s">
        <v>38</v>
      </c>
      <c r="L472" t="s">
        <v>417</v>
      </c>
      <c r="M472" t="s">
        <v>418</v>
      </c>
      <c r="O472" t="s">
        <v>419</v>
      </c>
      <c r="P472" t="s">
        <v>94</v>
      </c>
    </row>
    <row r="473" spans="1:16" x14ac:dyDescent="0.25">
      <c r="A473">
        <v>10945</v>
      </c>
      <c r="B473" t="s">
        <v>415</v>
      </c>
      <c r="C473" s="1">
        <v>35866</v>
      </c>
      <c r="D473" s="1" t="str">
        <f t="shared" si="21"/>
        <v>mar</v>
      </c>
      <c r="E473" s="1" t="str">
        <f t="shared" si="22"/>
        <v>1998</v>
      </c>
      <c r="F473" s="1">
        <v>35894</v>
      </c>
      <c r="G473" s="1">
        <v>35872</v>
      </c>
      <c r="H473">
        <v>1</v>
      </c>
      <c r="I473" t="str">
        <f t="shared" si="23"/>
        <v>UPS</v>
      </c>
      <c r="J473">
        <v>10.220000000000001</v>
      </c>
      <c r="K473" t="s">
        <v>38</v>
      </c>
      <c r="L473" t="s">
        <v>417</v>
      </c>
      <c r="M473" t="s">
        <v>418</v>
      </c>
      <c r="O473" t="s">
        <v>419</v>
      </c>
      <c r="P473" t="s">
        <v>94</v>
      </c>
    </row>
    <row r="474" spans="1:16" x14ac:dyDescent="0.25">
      <c r="A474">
        <v>10517</v>
      </c>
      <c r="B474" t="s">
        <v>421</v>
      </c>
      <c r="C474" s="1">
        <v>35544</v>
      </c>
      <c r="D474" s="1" t="str">
        <f t="shared" si="21"/>
        <v>abr</v>
      </c>
      <c r="E474" s="1" t="str">
        <f t="shared" si="22"/>
        <v>1997</v>
      </c>
      <c r="F474" s="1">
        <v>35572</v>
      </c>
      <c r="G474" s="1">
        <v>35549</v>
      </c>
      <c r="H474">
        <v>3</v>
      </c>
      <c r="I474" t="str">
        <f t="shared" si="23"/>
        <v>DHL</v>
      </c>
      <c r="J474">
        <v>32.07</v>
      </c>
      <c r="K474" t="s">
        <v>37</v>
      </c>
      <c r="L474" t="s">
        <v>423</v>
      </c>
      <c r="M474" t="s">
        <v>111</v>
      </c>
      <c r="O474" t="s">
        <v>424</v>
      </c>
      <c r="P474" t="s">
        <v>113</v>
      </c>
    </row>
    <row r="475" spans="1:16" x14ac:dyDescent="0.25">
      <c r="A475">
        <v>10752</v>
      </c>
      <c r="B475" t="s">
        <v>421</v>
      </c>
      <c r="C475" s="1">
        <v>35758</v>
      </c>
      <c r="D475" s="1" t="str">
        <f t="shared" si="21"/>
        <v>nov</v>
      </c>
      <c r="E475" s="1" t="str">
        <f t="shared" si="22"/>
        <v>1997</v>
      </c>
      <c r="F475" s="1">
        <v>35786</v>
      </c>
      <c r="G475" s="1">
        <v>35762</v>
      </c>
      <c r="H475">
        <v>3</v>
      </c>
      <c r="I475" t="str">
        <f t="shared" si="23"/>
        <v>DHL</v>
      </c>
      <c r="J475">
        <v>1.39</v>
      </c>
      <c r="K475" t="s">
        <v>37</v>
      </c>
      <c r="L475" t="s">
        <v>423</v>
      </c>
      <c r="M475" t="s">
        <v>111</v>
      </c>
      <c r="O475" t="s">
        <v>424</v>
      </c>
      <c r="P475" t="s">
        <v>113</v>
      </c>
    </row>
    <row r="476" spans="1:16" x14ac:dyDescent="0.25">
      <c r="A476">
        <v>11057</v>
      </c>
      <c r="B476" t="s">
        <v>421</v>
      </c>
      <c r="C476" s="1">
        <v>35914</v>
      </c>
      <c r="D476" s="1" t="str">
        <f t="shared" si="21"/>
        <v>abr</v>
      </c>
      <c r="E476" s="1" t="str">
        <f t="shared" si="22"/>
        <v>1998</v>
      </c>
      <c r="F476" s="1">
        <v>35942</v>
      </c>
      <c r="G476" s="1">
        <v>35916</v>
      </c>
      <c r="H476">
        <v>3</v>
      </c>
      <c r="I476" t="str">
        <f t="shared" si="23"/>
        <v>DHL</v>
      </c>
      <c r="J476">
        <v>4.13</v>
      </c>
      <c r="K476" t="s">
        <v>37</v>
      </c>
      <c r="L476" t="s">
        <v>423</v>
      </c>
      <c r="M476" t="s">
        <v>111</v>
      </c>
      <c r="O476" t="s">
        <v>424</v>
      </c>
      <c r="P476" t="s">
        <v>113</v>
      </c>
    </row>
    <row r="477" spans="1:16" x14ac:dyDescent="0.25">
      <c r="A477">
        <v>10409</v>
      </c>
      <c r="B477" t="s">
        <v>426</v>
      </c>
      <c r="C477" s="1">
        <v>35439</v>
      </c>
      <c r="D477" s="1" t="str">
        <f t="shared" si="21"/>
        <v>jan</v>
      </c>
      <c r="E477" s="1" t="str">
        <f t="shared" si="22"/>
        <v>1997</v>
      </c>
      <c r="F477" s="1">
        <v>35467</v>
      </c>
      <c r="G477" s="1">
        <v>35444</v>
      </c>
      <c r="H477">
        <v>1</v>
      </c>
      <c r="I477" t="str">
        <f t="shared" si="23"/>
        <v>UPS</v>
      </c>
      <c r="J477">
        <v>29.83</v>
      </c>
      <c r="K477" t="s">
        <v>36</v>
      </c>
      <c r="L477" t="s">
        <v>428</v>
      </c>
      <c r="M477" t="s">
        <v>167</v>
      </c>
      <c r="O477" t="s">
        <v>168</v>
      </c>
      <c r="P477" t="s">
        <v>169</v>
      </c>
    </row>
    <row r="478" spans="1:16" x14ac:dyDescent="0.25">
      <c r="A478">
        <v>10531</v>
      </c>
      <c r="B478" t="s">
        <v>426</v>
      </c>
      <c r="C478" s="1">
        <v>35558</v>
      </c>
      <c r="D478" s="1" t="str">
        <f t="shared" si="21"/>
        <v>mai</v>
      </c>
      <c r="E478" s="1" t="str">
        <f t="shared" si="22"/>
        <v>1997</v>
      </c>
      <c r="F478" s="1">
        <v>35586</v>
      </c>
      <c r="G478" s="1">
        <v>35569</v>
      </c>
      <c r="H478">
        <v>1</v>
      </c>
      <c r="I478" t="str">
        <f t="shared" si="23"/>
        <v>UPS</v>
      </c>
      <c r="J478">
        <v>8.1199999999999992</v>
      </c>
      <c r="K478" t="s">
        <v>36</v>
      </c>
      <c r="L478" t="s">
        <v>428</v>
      </c>
      <c r="M478" t="s">
        <v>167</v>
      </c>
      <c r="O478" t="s">
        <v>168</v>
      </c>
      <c r="P478" t="s">
        <v>169</v>
      </c>
    </row>
    <row r="479" spans="1:16" x14ac:dyDescent="0.25">
      <c r="A479">
        <v>10898</v>
      </c>
      <c r="B479" t="s">
        <v>426</v>
      </c>
      <c r="C479" s="1">
        <v>35846</v>
      </c>
      <c r="D479" s="1" t="str">
        <f t="shared" si="21"/>
        <v>fev</v>
      </c>
      <c r="E479" s="1" t="str">
        <f t="shared" si="22"/>
        <v>1998</v>
      </c>
      <c r="F479" s="1">
        <v>35874</v>
      </c>
      <c r="G479" s="1">
        <v>35860</v>
      </c>
      <c r="H479">
        <v>2</v>
      </c>
      <c r="I479" t="str">
        <f t="shared" si="23"/>
        <v>USPS</v>
      </c>
      <c r="J479">
        <v>1.27</v>
      </c>
      <c r="K479" t="s">
        <v>36</v>
      </c>
      <c r="L479" t="s">
        <v>428</v>
      </c>
      <c r="M479" t="s">
        <v>167</v>
      </c>
      <c r="O479" t="s">
        <v>168</v>
      </c>
      <c r="P479" t="s">
        <v>169</v>
      </c>
    </row>
    <row r="480" spans="1:16" x14ac:dyDescent="0.25">
      <c r="A480">
        <v>10958</v>
      </c>
      <c r="B480" t="s">
        <v>426</v>
      </c>
      <c r="C480" s="1">
        <v>35872</v>
      </c>
      <c r="D480" s="1" t="str">
        <f t="shared" si="21"/>
        <v>mar</v>
      </c>
      <c r="E480" s="1" t="str">
        <f t="shared" si="22"/>
        <v>1998</v>
      </c>
      <c r="F480" s="1">
        <v>35900</v>
      </c>
      <c r="G480" s="1">
        <v>35881</v>
      </c>
      <c r="H480">
        <v>2</v>
      </c>
      <c r="I480" t="str">
        <f t="shared" si="23"/>
        <v>USPS</v>
      </c>
      <c r="J480">
        <v>49.56</v>
      </c>
      <c r="K480" t="s">
        <v>36</v>
      </c>
      <c r="L480" t="s">
        <v>428</v>
      </c>
      <c r="M480" t="s">
        <v>167</v>
      </c>
      <c r="O480" t="s">
        <v>168</v>
      </c>
      <c r="P480" t="s">
        <v>169</v>
      </c>
    </row>
    <row r="481" spans="1:16" x14ac:dyDescent="0.25">
      <c r="A481">
        <v>10986</v>
      </c>
      <c r="B481" t="s">
        <v>426</v>
      </c>
      <c r="C481" s="1">
        <v>35884</v>
      </c>
      <c r="D481" s="1" t="str">
        <f t="shared" si="21"/>
        <v>mar</v>
      </c>
      <c r="E481" s="1" t="str">
        <f t="shared" si="22"/>
        <v>1998</v>
      </c>
      <c r="F481" s="1">
        <v>35912</v>
      </c>
      <c r="G481" s="1">
        <v>35906</v>
      </c>
      <c r="H481">
        <v>2</v>
      </c>
      <c r="I481" t="str">
        <f t="shared" si="23"/>
        <v>USPS</v>
      </c>
      <c r="J481">
        <v>217.86</v>
      </c>
      <c r="K481" t="s">
        <v>36</v>
      </c>
      <c r="L481" t="s">
        <v>428</v>
      </c>
      <c r="M481" t="s">
        <v>167</v>
      </c>
      <c r="O481" t="s">
        <v>168</v>
      </c>
      <c r="P481" t="s">
        <v>169</v>
      </c>
    </row>
    <row r="482" spans="1:16" x14ac:dyDescent="0.25">
      <c r="A482">
        <v>10260</v>
      </c>
      <c r="B482" t="s">
        <v>430</v>
      </c>
      <c r="C482" s="1">
        <v>35265</v>
      </c>
      <c r="D482" s="1" t="str">
        <f t="shared" si="21"/>
        <v>jul</v>
      </c>
      <c r="E482" s="1" t="str">
        <f t="shared" si="22"/>
        <v>1996</v>
      </c>
      <c r="F482" s="1">
        <v>35293</v>
      </c>
      <c r="G482" s="1">
        <v>35275</v>
      </c>
      <c r="H482">
        <v>1</v>
      </c>
      <c r="I482" t="str">
        <f t="shared" si="23"/>
        <v>UPS</v>
      </c>
      <c r="J482">
        <v>55.09</v>
      </c>
      <c r="K482" t="s">
        <v>35</v>
      </c>
      <c r="L482" t="s">
        <v>439</v>
      </c>
      <c r="M482" t="s">
        <v>440</v>
      </c>
      <c r="O482" t="s">
        <v>441</v>
      </c>
      <c r="P482" t="s">
        <v>94</v>
      </c>
    </row>
    <row r="483" spans="1:16" x14ac:dyDescent="0.25">
      <c r="A483">
        <v>10305</v>
      </c>
      <c r="B483" t="s">
        <v>430</v>
      </c>
      <c r="C483" s="1">
        <v>35321</v>
      </c>
      <c r="D483" s="1" t="str">
        <f t="shared" si="21"/>
        <v>set</v>
      </c>
      <c r="E483" s="1" t="str">
        <f t="shared" si="22"/>
        <v>1996</v>
      </c>
      <c r="F483" s="1">
        <v>35349</v>
      </c>
      <c r="G483" s="1">
        <v>35347</v>
      </c>
      <c r="H483">
        <v>3</v>
      </c>
      <c r="I483" t="str">
        <f t="shared" si="23"/>
        <v>DHL</v>
      </c>
      <c r="J483">
        <v>257.62</v>
      </c>
      <c r="K483" t="s">
        <v>32</v>
      </c>
      <c r="L483" t="s">
        <v>432</v>
      </c>
      <c r="M483" t="s">
        <v>433</v>
      </c>
      <c r="N483" t="s">
        <v>434</v>
      </c>
      <c r="O483" t="s">
        <v>435</v>
      </c>
      <c r="P483" t="s">
        <v>290</v>
      </c>
    </row>
    <row r="484" spans="1:16" x14ac:dyDescent="0.25">
      <c r="A484">
        <v>10338</v>
      </c>
      <c r="B484" t="s">
        <v>430</v>
      </c>
      <c r="C484" s="1">
        <v>35363</v>
      </c>
      <c r="D484" s="1" t="str">
        <f t="shared" si="21"/>
        <v>out</v>
      </c>
      <c r="E484" s="1" t="str">
        <f t="shared" si="22"/>
        <v>1996</v>
      </c>
      <c r="F484" s="1">
        <v>35391</v>
      </c>
      <c r="G484" s="1">
        <v>35367</v>
      </c>
      <c r="H484">
        <v>3</v>
      </c>
      <c r="I484" t="str">
        <f t="shared" si="23"/>
        <v>DHL</v>
      </c>
      <c r="J484">
        <v>84.21</v>
      </c>
      <c r="K484" t="s">
        <v>32</v>
      </c>
      <c r="L484" t="s">
        <v>432</v>
      </c>
      <c r="M484" t="s">
        <v>433</v>
      </c>
      <c r="N484" t="s">
        <v>434</v>
      </c>
      <c r="O484" t="s">
        <v>435</v>
      </c>
      <c r="P484" t="s">
        <v>290</v>
      </c>
    </row>
    <row r="485" spans="1:16" x14ac:dyDescent="0.25">
      <c r="A485">
        <v>10441</v>
      </c>
      <c r="B485" t="s">
        <v>430</v>
      </c>
      <c r="C485" s="1">
        <v>35471</v>
      </c>
      <c r="D485" s="1" t="str">
        <f t="shared" si="21"/>
        <v>fev</v>
      </c>
      <c r="E485" s="1" t="str">
        <f t="shared" si="22"/>
        <v>1997</v>
      </c>
      <c r="F485" s="1">
        <v>35513</v>
      </c>
      <c r="G485" s="1">
        <v>35503</v>
      </c>
      <c r="H485">
        <v>2</v>
      </c>
      <c r="I485" t="str">
        <f t="shared" si="23"/>
        <v>USPS</v>
      </c>
      <c r="J485">
        <v>73.02</v>
      </c>
      <c r="K485" t="s">
        <v>32</v>
      </c>
      <c r="L485" t="s">
        <v>432</v>
      </c>
      <c r="M485" t="s">
        <v>433</v>
      </c>
      <c r="N485" t="s">
        <v>434</v>
      </c>
      <c r="O485" t="s">
        <v>435</v>
      </c>
      <c r="P485" t="s">
        <v>290</v>
      </c>
    </row>
    <row r="486" spans="1:16" x14ac:dyDescent="0.25">
      <c r="A486">
        <v>10594</v>
      </c>
      <c r="B486" t="s">
        <v>430</v>
      </c>
      <c r="C486" s="1">
        <v>35620</v>
      </c>
      <c r="D486" s="1" t="str">
        <f t="shared" si="21"/>
        <v>jul</v>
      </c>
      <c r="E486" s="1" t="str">
        <f t="shared" si="22"/>
        <v>1997</v>
      </c>
      <c r="F486" s="1">
        <v>35648</v>
      </c>
      <c r="G486" s="1">
        <v>35627</v>
      </c>
      <c r="H486">
        <v>2</v>
      </c>
      <c r="I486" t="str">
        <f t="shared" si="23"/>
        <v>USPS</v>
      </c>
      <c r="J486">
        <v>5.24</v>
      </c>
      <c r="K486" t="s">
        <v>32</v>
      </c>
      <c r="L486" t="s">
        <v>432</v>
      </c>
      <c r="M486" t="s">
        <v>433</v>
      </c>
      <c r="N486" t="s">
        <v>434</v>
      </c>
      <c r="O486" t="s">
        <v>435</v>
      </c>
      <c r="P486" t="s">
        <v>290</v>
      </c>
    </row>
    <row r="487" spans="1:16" x14ac:dyDescent="0.25">
      <c r="A487">
        <v>10680</v>
      </c>
      <c r="B487" t="s">
        <v>430</v>
      </c>
      <c r="C487" s="1">
        <v>35697</v>
      </c>
      <c r="D487" s="1" t="str">
        <f t="shared" si="21"/>
        <v>set</v>
      </c>
      <c r="E487" s="1" t="str">
        <f t="shared" si="22"/>
        <v>1997</v>
      </c>
      <c r="F487" s="1">
        <v>35725</v>
      </c>
      <c r="G487" s="1">
        <v>35699</v>
      </c>
      <c r="H487">
        <v>1</v>
      </c>
      <c r="I487" t="str">
        <f t="shared" si="23"/>
        <v>UPS</v>
      </c>
      <c r="J487">
        <v>26.61</v>
      </c>
      <c r="K487" t="s">
        <v>32</v>
      </c>
      <c r="L487" t="s">
        <v>432</v>
      </c>
      <c r="M487" t="s">
        <v>433</v>
      </c>
      <c r="N487" t="s">
        <v>434</v>
      </c>
      <c r="O487" t="s">
        <v>435</v>
      </c>
      <c r="P487" t="s">
        <v>290</v>
      </c>
    </row>
    <row r="488" spans="1:16" x14ac:dyDescent="0.25">
      <c r="A488">
        <v>10706</v>
      </c>
      <c r="B488" t="s">
        <v>430</v>
      </c>
      <c r="C488" s="1">
        <v>35719</v>
      </c>
      <c r="D488" s="1" t="str">
        <f t="shared" si="21"/>
        <v>out</v>
      </c>
      <c r="E488" s="1" t="str">
        <f t="shared" si="22"/>
        <v>1997</v>
      </c>
      <c r="F488" s="1">
        <v>35747</v>
      </c>
      <c r="G488" s="1">
        <v>35724</v>
      </c>
      <c r="H488">
        <v>3</v>
      </c>
      <c r="I488" t="str">
        <f t="shared" si="23"/>
        <v>DHL</v>
      </c>
      <c r="J488">
        <v>135.63</v>
      </c>
      <c r="K488" t="s">
        <v>32</v>
      </c>
      <c r="L488" t="s">
        <v>432</v>
      </c>
      <c r="M488" t="s">
        <v>433</v>
      </c>
      <c r="N488" t="s">
        <v>434</v>
      </c>
      <c r="O488" t="s">
        <v>435</v>
      </c>
      <c r="P488" t="s">
        <v>290</v>
      </c>
    </row>
    <row r="489" spans="1:16" x14ac:dyDescent="0.25">
      <c r="A489">
        <v>10855</v>
      </c>
      <c r="B489" t="s">
        <v>430</v>
      </c>
      <c r="C489" s="1">
        <v>35822</v>
      </c>
      <c r="D489" s="1" t="str">
        <f t="shared" si="21"/>
        <v>jan</v>
      </c>
      <c r="E489" s="1" t="str">
        <f t="shared" si="22"/>
        <v>1998</v>
      </c>
      <c r="F489" s="1">
        <v>35850</v>
      </c>
      <c r="G489" s="1">
        <v>35830</v>
      </c>
      <c r="H489">
        <v>1</v>
      </c>
      <c r="I489" t="str">
        <f t="shared" si="23"/>
        <v>UPS</v>
      </c>
      <c r="J489">
        <v>170.97</v>
      </c>
      <c r="K489" t="s">
        <v>32</v>
      </c>
      <c r="L489" t="s">
        <v>432</v>
      </c>
      <c r="M489" t="s">
        <v>433</v>
      </c>
      <c r="N489" t="s">
        <v>434</v>
      </c>
      <c r="O489" t="s">
        <v>435</v>
      </c>
      <c r="P489" t="s">
        <v>290</v>
      </c>
    </row>
    <row r="490" spans="1:16" x14ac:dyDescent="0.25">
      <c r="A490">
        <v>10965</v>
      </c>
      <c r="B490" t="s">
        <v>430</v>
      </c>
      <c r="C490" s="1">
        <v>35874</v>
      </c>
      <c r="D490" s="1" t="str">
        <f t="shared" si="21"/>
        <v>mar</v>
      </c>
      <c r="E490" s="1" t="str">
        <f t="shared" si="22"/>
        <v>1998</v>
      </c>
      <c r="F490" s="1">
        <v>35902</v>
      </c>
      <c r="G490" s="1">
        <v>35884</v>
      </c>
      <c r="H490">
        <v>3</v>
      </c>
      <c r="I490" t="str">
        <f t="shared" si="23"/>
        <v>DHL</v>
      </c>
      <c r="J490">
        <v>144.38</v>
      </c>
      <c r="K490" t="s">
        <v>32</v>
      </c>
      <c r="L490" t="s">
        <v>432</v>
      </c>
      <c r="M490" t="s">
        <v>433</v>
      </c>
      <c r="N490" t="s">
        <v>434</v>
      </c>
      <c r="O490" t="s">
        <v>435</v>
      </c>
      <c r="P490" t="s">
        <v>290</v>
      </c>
    </row>
    <row r="491" spans="1:16" x14ac:dyDescent="0.25">
      <c r="A491">
        <v>11034</v>
      </c>
      <c r="B491" t="s">
        <v>430</v>
      </c>
      <c r="C491" s="1">
        <v>35905</v>
      </c>
      <c r="D491" s="1" t="str">
        <f t="shared" si="21"/>
        <v>abr</v>
      </c>
      <c r="E491" s="1" t="str">
        <f t="shared" si="22"/>
        <v>1998</v>
      </c>
      <c r="F491" s="1">
        <v>35947</v>
      </c>
      <c r="G491" s="1">
        <v>35912</v>
      </c>
      <c r="H491">
        <v>1</v>
      </c>
      <c r="I491" t="str">
        <f t="shared" si="23"/>
        <v>UPS</v>
      </c>
      <c r="J491">
        <v>40.32</v>
      </c>
      <c r="K491" t="s">
        <v>32</v>
      </c>
      <c r="L491" t="s">
        <v>432</v>
      </c>
      <c r="M491" t="s">
        <v>433</v>
      </c>
      <c r="N491" t="s">
        <v>434</v>
      </c>
      <c r="O491" t="s">
        <v>435</v>
      </c>
      <c r="P491" t="s">
        <v>290</v>
      </c>
    </row>
    <row r="492" spans="1:16" x14ac:dyDescent="0.25">
      <c r="A492">
        <v>10407</v>
      </c>
      <c r="B492" t="s">
        <v>437</v>
      </c>
      <c r="C492" s="1">
        <v>35437</v>
      </c>
      <c r="D492" s="1" t="str">
        <f t="shared" si="21"/>
        <v>jan</v>
      </c>
      <c r="E492" s="1" t="str">
        <f t="shared" si="22"/>
        <v>1997</v>
      </c>
      <c r="F492" s="1">
        <v>35465</v>
      </c>
      <c r="G492" s="1">
        <v>35460</v>
      </c>
      <c r="H492">
        <v>2</v>
      </c>
      <c r="I492" t="str">
        <f t="shared" si="23"/>
        <v>USPS</v>
      </c>
      <c r="J492">
        <v>91.48</v>
      </c>
      <c r="K492" t="s">
        <v>35</v>
      </c>
      <c r="L492" t="s">
        <v>439</v>
      </c>
      <c r="M492" t="s">
        <v>440</v>
      </c>
      <c r="O492" t="s">
        <v>441</v>
      </c>
      <c r="P492" t="s">
        <v>94</v>
      </c>
    </row>
    <row r="493" spans="1:16" x14ac:dyDescent="0.25">
      <c r="A493">
        <v>10508</v>
      </c>
      <c r="B493" t="s">
        <v>437</v>
      </c>
      <c r="C493" s="1">
        <v>35536</v>
      </c>
      <c r="D493" s="1" t="str">
        <f t="shared" si="21"/>
        <v>abr</v>
      </c>
      <c r="E493" s="1" t="str">
        <f t="shared" si="22"/>
        <v>1997</v>
      </c>
      <c r="F493" s="1">
        <v>35564</v>
      </c>
      <c r="G493" s="1">
        <v>35563</v>
      </c>
      <c r="H493">
        <v>2</v>
      </c>
      <c r="I493" t="str">
        <f t="shared" si="23"/>
        <v>USPS</v>
      </c>
      <c r="J493">
        <v>4.99</v>
      </c>
      <c r="K493" t="s">
        <v>35</v>
      </c>
      <c r="L493" t="s">
        <v>439</v>
      </c>
      <c r="M493" t="s">
        <v>440</v>
      </c>
      <c r="O493" t="s">
        <v>441</v>
      </c>
      <c r="P493" t="s">
        <v>94</v>
      </c>
    </row>
    <row r="494" spans="1:16" x14ac:dyDescent="0.25">
      <c r="A494">
        <v>10554</v>
      </c>
      <c r="B494" t="s">
        <v>437</v>
      </c>
      <c r="C494" s="1">
        <v>35580</v>
      </c>
      <c r="D494" s="1" t="str">
        <f t="shared" si="21"/>
        <v>mai</v>
      </c>
      <c r="E494" s="1" t="str">
        <f t="shared" si="22"/>
        <v>1997</v>
      </c>
      <c r="F494" s="1">
        <v>35608</v>
      </c>
      <c r="G494" s="1">
        <v>35586</v>
      </c>
      <c r="H494">
        <v>3</v>
      </c>
      <c r="I494" t="str">
        <f t="shared" si="23"/>
        <v>DHL</v>
      </c>
      <c r="J494">
        <v>120.97</v>
      </c>
      <c r="K494" t="s">
        <v>35</v>
      </c>
      <c r="L494" t="s">
        <v>439</v>
      </c>
      <c r="M494" t="s">
        <v>440</v>
      </c>
      <c r="O494" t="s">
        <v>441</v>
      </c>
      <c r="P494" t="s">
        <v>94</v>
      </c>
    </row>
    <row r="495" spans="1:16" x14ac:dyDescent="0.25">
      <c r="A495">
        <v>10580</v>
      </c>
      <c r="B495" t="s">
        <v>437</v>
      </c>
      <c r="C495" s="1">
        <v>35607</v>
      </c>
      <c r="D495" s="1" t="str">
        <f t="shared" si="21"/>
        <v>jun</v>
      </c>
      <c r="E495" s="1" t="str">
        <f t="shared" si="22"/>
        <v>1997</v>
      </c>
      <c r="F495" s="1">
        <v>35635</v>
      </c>
      <c r="G495" s="1">
        <v>35612</v>
      </c>
      <c r="H495">
        <v>3</v>
      </c>
      <c r="I495" t="str">
        <f t="shared" si="23"/>
        <v>DHL</v>
      </c>
      <c r="J495">
        <v>75.89</v>
      </c>
      <c r="K495" t="s">
        <v>35</v>
      </c>
      <c r="L495" t="s">
        <v>439</v>
      </c>
      <c r="M495" t="s">
        <v>440</v>
      </c>
      <c r="O495" t="s">
        <v>441</v>
      </c>
      <c r="P495" t="s">
        <v>94</v>
      </c>
    </row>
    <row r="496" spans="1:16" x14ac:dyDescent="0.25">
      <c r="A496">
        <v>10684</v>
      </c>
      <c r="B496" t="s">
        <v>437</v>
      </c>
      <c r="C496" s="1">
        <v>35699</v>
      </c>
      <c r="D496" s="1" t="str">
        <f t="shared" si="21"/>
        <v>set</v>
      </c>
      <c r="E496" s="1" t="str">
        <f t="shared" si="22"/>
        <v>1997</v>
      </c>
      <c r="F496" s="1">
        <v>35727</v>
      </c>
      <c r="G496" s="1">
        <v>35703</v>
      </c>
      <c r="H496">
        <v>1</v>
      </c>
      <c r="I496" t="str">
        <f t="shared" si="23"/>
        <v>UPS</v>
      </c>
      <c r="J496">
        <v>145.63</v>
      </c>
      <c r="K496" t="s">
        <v>35</v>
      </c>
      <c r="L496" t="s">
        <v>439</v>
      </c>
      <c r="M496" t="s">
        <v>440</v>
      </c>
      <c r="O496" t="s">
        <v>441</v>
      </c>
      <c r="P496" t="s">
        <v>94</v>
      </c>
    </row>
    <row r="497" spans="1:16" x14ac:dyDescent="0.25">
      <c r="A497">
        <v>10766</v>
      </c>
      <c r="B497" t="s">
        <v>437</v>
      </c>
      <c r="C497" s="1">
        <v>35769</v>
      </c>
      <c r="D497" s="1" t="str">
        <f t="shared" si="21"/>
        <v>dez</v>
      </c>
      <c r="E497" s="1" t="str">
        <f t="shared" si="22"/>
        <v>1997</v>
      </c>
      <c r="F497" s="1">
        <v>35797</v>
      </c>
      <c r="G497" s="1">
        <v>35773</v>
      </c>
      <c r="H497">
        <v>1</v>
      </c>
      <c r="I497" t="str">
        <f t="shared" si="23"/>
        <v>UPS</v>
      </c>
      <c r="J497">
        <v>157.55000000000001</v>
      </c>
      <c r="K497" t="s">
        <v>35</v>
      </c>
      <c r="L497" t="s">
        <v>439</v>
      </c>
      <c r="M497" t="s">
        <v>440</v>
      </c>
      <c r="O497" t="s">
        <v>441</v>
      </c>
      <c r="P497" t="s">
        <v>94</v>
      </c>
    </row>
    <row r="498" spans="1:16" x14ac:dyDescent="0.25">
      <c r="A498">
        <v>10833</v>
      </c>
      <c r="B498" t="s">
        <v>437</v>
      </c>
      <c r="C498" s="1">
        <v>35810</v>
      </c>
      <c r="D498" s="1" t="str">
        <f t="shared" si="21"/>
        <v>jan</v>
      </c>
      <c r="E498" s="1" t="str">
        <f t="shared" si="22"/>
        <v>1998</v>
      </c>
      <c r="F498" s="1">
        <v>35838</v>
      </c>
      <c r="G498" s="1">
        <v>35818</v>
      </c>
      <c r="H498">
        <v>2</v>
      </c>
      <c r="I498" t="str">
        <f t="shared" si="23"/>
        <v>USPS</v>
      </c>
      <c r="J498">
        <v>71.489999999999995</v>
      </c>
      <c r="K498" t="s">
        <v>35</v>
      </c>
      <c r="L498" t="s">
        <v>439</v>
      </c>
      <c r="M498" t="s">
        <v>440</v>
      </c>
      <c r="O498" t="s">
        <v>441</v>
      </c>
      <c r="P498" t="s">
        <v>94</v>
      </c>
    </row>
    <row r="499" spans="1:16" x14ac:dyDescent="0.25">
      <c r="A499">
        <v>10999</v>
      </c>
      <c r="B499" t="s">
        <v>437</v>
      </c>
      <c r="C499" s="1">
        <v>35888</v>
      </c>
      <c r="D499" s="1" t="str">
        <f t="shared" si="21"/>
        <v>abr</v>
      </c>
      <c r="E499" s="1" t="str">
        <f t="shared" si="22"/>
        <v>1998</v>
      </c>
      <c r="F499" s="1">
        <v>35916</v>
      </c>
      <c r="G499" s="1">
        <v>35895</v>
      </c>
      <c r="H499">
        <v>2</v>
      </c>
      <c r="I499" t="str">
        <f t="shared" si="23"/>
        <v>USPS</v>
      </c>
      <c r="J499">
        <v>96.35</v>
      </c>
      <c r="K499" t="s">
        <v>35</v>
      </c>
      <c r="L499" t="s">
        <v>439</v>
      </c>
      <c r="M499" t="s">
        <v>440</v>
      </c>
      <c r="O499" t="s">
        <v>441</v>
      </c>
      <c r="P499" t="s">
        <v>94</v>
      </c>
    </row>
    <row r="500" spans="1:16" x14ac:dyDescent="0.25">
      <c r="A500">
        <v>11020</v>
      </c>
      <c r="B500" t="s">
        <v>437</v>
      </c>
      <c r="C500" s="1">
        <v>35899</v>
      </c>
      <c r="D500" s="1" t="str">
        <f t="shared" si="21"/>
        <v>abr</v>
      </c>
      <c r="E500" s="1" t="str">
        <f t="shared" si="22"/>
        <v>1998</v>
      </c>
      <c r="F500" s="1">
        <v>35927</v>
      </c>
      <c r="G500" s="1">
        <v>35901</v>
      </c>
      <c r="H500">
        <v>2</v>
      </c>
      <c r="I500" t="str">
        <f t="shared" si="23"/>
        <v>USPS</v>
      </c>
      <c r="J500">
        <v>43.3</v>
      </c>
      <c r="K500" t="s">
        <v>35</v>
      </c>
      <c r="L500" t="s">
        <v>439</v>
      </c>
      <c r="M500" t="s">
        <v>440</v>
      </c>
      <c r="O500" t="s">
        <v>441</v>
      </c>
      <c r="P500" t="s">
        <v>94</v>
      </c>
    </row>
    <row r="501" spans="1:16" x14ac:dyDescent="0.25">
      <c r="A501">
        <v>10322</v>
      </c>
      <c r="B501" t="s">
        <v>450</v>
      </c>
      <c r="C501" s="1">
        <v>35342</v>
      </c>
      <c r="D501" s="1" t="str">
        <f t="shared" si="21"/>
        <v>out</v>
      </c>
      <c r="E501" s="1" t="str">
        <f t="shared" si="22"/>
        <v>1996</v>
      </c>
      <c r="F501" s="1">
        <v>35370</v>
      </c>
      <c r="G501" s="1">
        <v>35361</v>
      </c>
      <c r="H501">
        <v>3</v>
      </c>
      <c r="I501" t="str">
        <f t="shared" si="23"/>
        <v>DHL</v>
      </c>
      <c r="J501">
        <v>0.4</v>
      </c>
      <c r="K501" t="s">
        <v>34</v>
      </c>
      <c r="L501" t="s">
        <v>452</v>
      </c>
      <c r="M501" t="s">
        <v>100</v>
      </c>
      <c r="O501" t="s">
        <v>453</v>
      </c>
      <c r="P501" t="s">
        <v>102</v>
      </c>
    </row>
    <row r="502" spans="1:16" x14ac:dyDescent="0.25">
      <c r="A502">
        <v>10354</v>
      </c>
      <c r="B502" t="s">
        <v>450</v>
      </c>
      <c r="C502" s="1">
        <v>35383</v>
      </c>
      <c r="D502" s="1" t="str">
        <f t="shared" si="21"/>
        <v>nov</v>
      </c>
      <c r="E502" s="1" t="str">
        <f t="shared" si="22"/>
        <v>1996</v>
      </c>
      <c r="F502" s="1">
        <v>35411</v>
      </c>
      <c r="G502" s="1">
        <v>35389</v>
      </c>
      <c r="H502">
        <v>3</v>
      </c>
      <c r="I502" t="str">
        <f t="shared" si="23"/>
        <v>DHL</v>
      </c>
      <c r="J502">
        <v>53.8</v>
      </c>
      <c r="K502" t="s">
        <v>34</v>
      </c>
      <c r="L502" t="s">
        <v>452</v>
      </c>
      <c r="M502" t="s">
        <v>100</v>
      </c>
      <c r="O502" t="s">
        <v>453</v>
      </c>
      <c r="P502" t="s">
        <v>102</v>
      </c>
    </row>
    <row r="503" spans="1:16" x14ac:dyDescent="0.25">
      <c r="A503">
        <v>10474</v>
      </c>
      <c r="B503" t="s">
        <v>450</v>
      </c>
      <c r="C503" s="1">
        <v>35502</v>
      </c>
      <c r="D503" s="1" t="str">
        <f t="shared" si="21"/>
        <v>mar</v>
      </c>
      <c r="E503" s="1" t="str">
        <f t="shared" si="22"/>
        <v>1997</v>
      </c>
      <c r="F503" s="1">
        <v>35530</v>
      </c>
      <c r="G503" s="1">
        <v>35510</v>
      </c>
      <c r="H503">
        <v>2</v>
      </c>
      <c r="I503" t="str">
        <f t="shared" si="23"/>
        <v>USPS</v>
      </c>
      <c r="J503">
        <v>83.49</v>
      </c>
      <c r="K503" t="s">
        <v>34</v>
      </c>
      <c r="L503" t="s">
        <v>452</v>
      </c>
      <c r="M503" t="s">
        <v>100</v>
      </c>
      <c r="O503" t="s">
        <v>453</v>
      </c>
      <c r="P503" t="s">
        <v>102</v>
      </c>
    </row>
    <row r="504" spans="1:16" x14ac:dyDescent="0.25">
      <c r="A504">
        <v>10502</v>
      </c>
      <c r="B504" t="s">
        <v>450</v>
      </c>
      <c r="C504" s="1">
        <v>35530</v>
      </c>
      <c r="D504" s="1" t="str">
        <f t="shared" si="21"/>
        <v>abr</v>
      </c>
      <c r="E504" s="1" t="str">
        <f t="shared" si="22"/>
        <v>1997</v>
      </c>
      <c r="F504" s="1">
        <v>35558</v>
      </c>
      <c r="G504" s="1">
        <v>35549</v>
      </c>
      <c r="H504">
        <v>1</v>
      </c>
      <c r="I504" t="str">
        <f t="shared" si="23"/>
        <v>UPS</v>
      </c>
      <c r="J504">
        <v>69.319999999999993</v>
      </c>
      <c r="K504" t="s">
        <v>34</v>
      </c>
      <c r="L504" t="s">
        <v>452</v>
      </c>
      <c r="M504" t="s">
        <v>100</v>
      </c>
      <c r="O504" t="s">
        <v>453</v>
      </c>
      <c r="P504" t="s">
        <v>102</v>
      </c>
    </row>
    <row r="505" spans="1:16" x14ac:dyDescent="0.25">
      <c r="A505">
        <v>10995</v>
      </c>
      <c r="B505" t="s">
        <v>450</v>
      </c>
      <c r="C505" s="1">
        <v>35887</v>
      </c>
      <c r="D505" s="1" t="str">
        <f t="shared" si="21"/>
        <v>abr</v>
      </c>
      <c r="E505" s="1" t="str">
        <f t="shared" si="22"/>
        <v>1998</v>
      </c>
      <c r="F505" s="1">
        <v>35915</v>
      </c>
      <c r="G505" s="1">
        <v>35891</v>
      </c>
      <c r="H505">
        <v>3</v>
      </c>
      <c r="I505" t="str">
        <f t="shared" si="23"/>
        <v>DHL</v>
      </c>
      <c r="J505">
        <v>46</v>
      </c>
      <c r="K505" t="s">
        <v>34</v>
      </c>
      <c r="L505" t="s">
        <v>452</v>
      </c>
      <c r="M505" t="s">
        <v>100</v>
      </c>
      <c r="O505" t="s">
        <v>453</v>
      </c>
      <c r="P505" t="s">
        <v>102</v>
      </c>
    </row>
    <row r="506" spans="1:16" x14ac:dyDescent="0.25">
      <c r="A506">
        <v>11073</v>
      </c>
      <c r="B506" t="s">
        <v>450</v>
      </c>
      <c r="C506" s="1">
        <v>35920</v>
      </c>
      <c r="D506" s="1" t="str">
        <f t="shared" si="21"/>
        <v>mai</v>
      </c>
      <c r="E506" s="1" t="str">
        <f t="shared" si="22"/>
        <v>1998</v>
      </c>
      <c r="F506" s="1">
        <v>35948</v>
      </c>
      <c r="G506" s="1"/>
      <c r="H506">
        <v>2</v>
      </c>
      <c r="I506" t="str">
        <f t="shared" si="23"/>
        <v>USPS</v>
      </c>
      <c r="J506">
        <v>24.95</v>
      </c>
      <c r="K506" t="s">
        <v>34</v>
      </c>
      <c r="L506" t="s">
        <v>452</v>
      </c>
      <c r="M506" t="s">
        <v>100</v>
      </c>
      <c r="O506" t="s">
        <v>453</v>
      </c>
      <c r="P506" t="s">
        <v>102</v>
      </c>
    </row>
    <row r="507" spans="1:16" x14ac:dyDescent="0.25">
      <c r="A507">
        <v>10353</v>
      </c>
      <c r="B507" t="s">
        <v>455</v>
      </c>
      <c r="C507" s="1">
        <v>35382</v>
      </c>
      <c r="D507" s="1" t="str">
        <f t="shared" si="21"/>
        <v>nov</v>
      </c>
      <c r="E507" s="1" t="str">
        <f t="shared" si="22"/>
        <v>1996</v>
      </c>
      <c r="F507" s="1">
        <v>35410</v>
      </c>
      <c r="G507" s="1">
        <v>35394</v>
      </c>
      <c r="H507">
        <v>3</v>
      </c>
      <c r="I507" t="str">
        <f t="shared" si="23"/>
        <v>DHL</v>
      </c>
      <c r="J507">
        <v>360.63</v>
      </c>
      <c r="K507" t="s">
        <v>33</v>
      </c>
      <c r="L507" t="s">
        <v>457</v>
      </c>
      <c r="M507" t="s">
        <v>458</v>
      </c>
      <c r="O507" t="s">
        <v>459</v>
      </c>
      <c r="P507" t="s">
        <v>218</v>
      </c>
    </row>
    <row r="508" spans="1:16" x14ac:dyDescent="0.25">
      <c r="A508">
        <v>10392</v>
      </c>
      <c r="B508" t="s">
        <v>455</v>
      </c>
      <c r="C508" s="1">
        <v>35423</v>
      </c>
      <c r="D508" s="1" t="str">
        <f t="shared" si="21"/>
        <v>dez</v>
      </c>
      <c r="E508" s="1" t="str">
        <f t="shared" si="22"/>
        <v>1996</v>
      </c>
      <c r="F508" s="1">
        <v>35451</v>
      </c>
      <c r="G508" s="1">
        <v>35431</v>
      </c>
      <c r="H508">
        <v>3</v>
      </c>
      <c r="I508" t="str">
        <f t="shared" si="23"/>
        <v>DHL</v>
      </c>
      <c r="J508">
        <v>122.46</v>
      </c>
      <c r="K508" t="s">
        <v>33</v>
      </c>
      <c r="L508" t="s">
        <v>457</v>
      </c>
      <c r="M508" t="s">
        <v>458</v>
      </c>
      <c r="O508" t="s">
        <v>459</v>
      </c>
      <c r="P508" t="s">
        <v>218</v>
      </c>
    </row>
    <row r="509" spans="1:16" x14ac:dyDescent="0.25">
      <c r="A509">
        <v>10427</v>
      </c>
      <c r="B509" t="s">
        <v>455</v>
      </c>
      <c r="C509" s="1">
        <v>35457</v>
      </c>
      <c r="D509" s="1" t="str">
        <f t="shared" si="21"/>
        <v>jan</v>
      </c>
      <c r="E509" s="1" t="str">
        <f t="shared" si="22"/>
        <v>1997</v>
      </c>
      <c r="F509" s="1">
        <v>35485</v>
      </c>
      <c r="G509" s="1">
        <v>35492</v>
      </c>
      <c r="H509">
        <v>2</v>
      </c>
      <c r="I509" t="str">
        <f t="shared" si="23"/>
        <v>USPS</v>
      </c>
      <c r="J509">
        <v>31.29</v>
      </c>
      <c r="K509" t="s">
        <v>33</v>
      </c>
      <c r="L509" t="s">
        <v>457</v>
      </c>
      <c r="M509" t="s">
        <v>458</v>
      </c>
      <c r="O509" t="s">
        <v>459</v>
      </c>
      <c r="P509" t="s">
        <v>218</v>
      </c>
    </row>
    <row r="510" spans="1:16" x14ac:dyDescent="0.25">
      <c r="A510">
        <v>10489</v>
      </c>
      <c r="B510" t="s">
        <v>455</v>
      </c>
      <c r="C510" s="1">
        <v>35517</v>
      </c>
      <c r="D510" s="1" t="str">
        <f t="shared" si="21"/>
        <v>mar</v>
      </c>
      <c r="E510" s="1" t="str">
        <f t="shared" si="22"/>
        <v>1997</v>
      </c>
      <c r="F510" s="1">
        <v>35545</v>
      </c>
      <c r="G510" s="1">
        <v>35529</v>
      </c>
      <c r="H510">
        <v>2</v>
      </c>
      <c r="I510" t="str">
        <f t="shared" si="23"/>
        <v>USPS</v>
      </c>
      <c r="J510">
        <v>5.29</v>
      </c>
      <c r="K510" t="s">
        <v>33</v>
      </c>
      <c r="L510" t="s">
        <v>457</v>
      </c>
      <c r="M510" t="s">
        <v>458</v>
      </c>
      <c r="O510" t="s">
        <v>459</v>
      </c>
      <c r="P510" t="s">
        <v>218</v>
      </c>
    </row>
    <row r="511" spans="1:16" x14ac:dyDescent="0.25">
      <c r="A511">
        <v>10530</v>
      </c>
      <c r="B511" t="s">
        <v>455</v>
      </c>
      <c r="C511" s="1">
        <v>35558</v>
      </c>
      <c r="D511" s="1" t="str">
        <f t="shared" si="21"/>
        <v>mai</v>
      </c>
      <c r="E511" s="1" t="str">
        <f t="shared" si="22"/>
        <v>1997</v>
      </c>
      <c r="F511" s="1">
        <v>35586</v>
      </c>
      <c r="G511" s="1">
        <v>35562</v>
      </c>
      <c r="H511">
        <v>2</v>
      </c>
      <c r="I511" t="str">
        <f t="shared" si="23"/>
        <v>USPS</v>
      </c>
      <c r="J511">
        <v>339.22</v>
      </c>
      <c r="K511" t="s">
        <v>33</v>
      </c>
      <c r="L511" t="s">
        <v>457</v>
      </c>
      <c r="M511" t="s">
        <v>458</v>
      </c>
      <c r="O511" t="s">
        <v>459</v>
      </c>
      <c r="P511" t="s">
        <v>218</v>
      </c>
    </row>
    <row r="512" spans="1:16" x14ac:dyDescent="0.25">
      <c r="A512">
        <v>10597</v>
      </c>
      <c r="B512" t="s">
        <v>455</v>
      </c>
      <c r="C512" s="1">
        <v>35622</v>
      </c>
      <c r="D512" s="1" t="str">
        <f t="shared" si="21"/>
        <v>jul</v>
      </c>
      <c r="E512" s="1" t="str">
        <f t="shared" si="22"/>
        <v>1997</v>
      </c>
      <c r="F512" s="1">
        <v>35650</v>
      </c>
      <c r="G512" s="1">
        <v>35629</v>
      </c>
      <c r="H512">
        <v>3</v>
      </c>
      <c r="I512" t="str">
        <f t="shared" si="23"/>
        <v>DHL</v>
      </c>
      <c r="J512">
        <v>35.119999999999997</v>
      </c>
      <c r="K512" t="s">
        <v>33</v>
      </c>
      <c r="L512" t="s">
        <v>457</v>
      </c>
      <c r="M512" t="s">
        <v>458</v>
      </c>
      <c r="O512" t="s">
        <v>459</v>
      </c>
      <c r="P512" t="s">
        <v>218</v>
      </c>
    </row>
    <row r="513" spans="1:16" x14ac:dyDescent="0.25">
      <c r="A513">
        <v>10686</v>
      </c>
      <c r="B513" t="s">
        <v>455</v>
      </c>
      <c r="C513" s="1">
        <v>35703</v>
      </c>
      <c r="D513" s="1" t="str">
        <f t="shared" si="21"/>
        <v>set</v>
      </c>
      <c r="E513" s="1" t="str">
        <f t="shared" si="22"/>
        <v>1997</v>
      </c>
      <c r="F513" s="1">
        <v>35731</v>
      </c>
      <c r="G513" s="1">
        <v>35711</v>
      </c>
      <c r="H513">
        <v>1</v>
      </c>
      <c r="I513" t="str">
        <f t="shared" si="23"/>
        <v>UPS</v>
      </c>
      <c r="J513">
        <v>96.5</v>
      </c>
      <c r="K513" t="s">
        <v>33</v>
      </c>
      <c r="L513" t="s">
        <v>457</v>
      </c>
      <c r="M513" t="s">
        <v>458</v>
      </c>
      <c r="O513" t="s">
        <v>459</v>
      </c>
      <c r="P513" t="s">
        <v>218</v>
      </c>
    </row>
    <row r="514" spans="1:16" x14ac:dyDescent="0.25">
      <c r="A514">
        <v>10747</v>
      </c>
      <c r="B514" t="s">
        <v>455</v>
      </c>
      <c r="C514" s="1">
        <v>35753</v>
      </c>
      <c r="D514" s="1" t="str">
        <f t="shared" si="21"/>
        <v>nov</v>
      </c>
      <c r="E514" s="1" t="str">
        <f t="shared" si="22"/>
        <v>1997</v>
      </c>
      <c r="F514" s="1">
        <v>35781</v>
      </c>
      <c r="G514" s="1">
        <v>35760</v>
      </c>
      <c r="H514">
        <v>1</v>
      </c>
      <c r="I514" t="str">
        <f t="shared" si="23"/>
        <v>UPS</v>
      </c>
      <c r="J514">
        <v>117.33</v>
      </c>
      <c r="K514" t="s">
        <v>33</v>
      </c>
      <c r="L514" t="s">
        <v>457</v>
      </c>
      <c r="M514" t="s">
        <v>458</v>
      </c>
      <c r="O514" t="s">
        <v>459</v>
      </c>
      <c r="P514" t="s">
        <v>218</v>
      </c>
    </row>
    <row r="515" spans="1:16" x14ac:dyDescent="0.25">
      <c r="A515">
        <v>10844</v>
      </c>
      <c r="B515" t="s">
        <v>455</v>
      </c>
      <c r="C515" s="1">
        <v>35816</v>
      </c>
      <c r="D515" s="1" t="str">
        <f t="shared" ref="D515:D578" si="24">TEXT(C515,"mmm")</f>
        <v>jan</v>
      </c>
      <c r="E515" s="1" t="str">
        <f t="shared" ref="E515:E578" si="25">TEXT(C515,"aaa")</f>
        <v>1998</v>
      </c>
      <c r="F515" s="1">
        <v>35844</v>
      </c>
      <c r="G515" s="1">
        <v>35821</v>
      </c>
      <c r="H515">
        <v>2</v>
      </c>
      <c r="I515" t="str">
        <f t="shared" ref="I515:I578" si="26">CHOOSE(H515,"UPS","USPS","DHL")</f>
        <v>USPS</v>
      </c>
      <c r="J515">
        <v>25.22</v>
      </c>
      <c r="K515" t="s">
        <v>33</v>
      </c>
      <c r="L515" t="s">
        <v>457</v>
      </c>
      <c r="M515" t="s">
        <v>458</v>
      </c>
      <c r="O515" t="s">
        <v>459</v>
      </c>
      <c r="P515" t="s">
        <v>218</v>
      </c>
    </row>
    <row r="516" spans="1:16" x14ac:dyDescent="0.25">
      <c r="A516">
        <v>11053</v>
      </c>
      <c r="B516" t="s">
        <v>455</v>
      </c>
      <c r="C516" s="1">
        <v>35912</v>
      </c>
      <c r="D516" s="1" t="str">
        <f t="shared" si="24"/>
        <v>abr</v>
      </c>
      <c r="E516" s="1" t="str">
        <f t="shared" si="25"/>
        <v>1998</v>
      </c>
      <c r="F516" s="1">
        <v>35940</v>
      </c>
      <c r="G516" s="1">
        <v>35914</v>
      </c>
      <c r="H516">
        <v>2</v>
      </c>
      <c r="I516" t="str">
        <f t="shared" si="26"/>
        <v>USPS</v>
      </c>
      <c r="J516">
        <v>53.05</v>
      </c>
      <c r="K516" t="s">
        <v>33</v>
      </c>
      <c r="L516" t="s">
        <v>457</v>
      </c>
      <c r="M516" t="s">
        <v>458</v>
      </c>
      <c r="O516" t="s">
        <v>459</v>
      </c>
      <c r="P516" t="s">
        <v>218</v>
      </c>
    </row>
    <row r="517" spans="1:16" x14ac:dyDescent="0.25">
      <c r="A517">
        <v>10336</v>
      </c>
      <c r="B517" t="s">
        <v>461</v>
      </c>
      <c r="C517" s="1">
        <v>35361</v>
      </c>
      <c r="D517" s="1" t="str">
        <f t="shared" si="24"/>
        <v>out</v>
      </c>
      <c r="E517" s="1" t="str">
        <f t="shared" si="25"/>
        <v>1996</v>
      </c>
      <c r="F517" s="1">
        <v>35389</v>
      </c>
      <c r="G517" s="1">
        <v>35363</v>
      </c>
      <c r="H517">
        <v>2</v>
      </c>
      <c r="I517" t="str">
        <f t="shared" si="26"/>
        <v>USPS</v>
      </c>
      <c r="J517">
        <v>15.51</v>
      </c>
      <c r="K517" t="s">
        <v>31</v>
      </c>
      <c r="L517" t="s">
        <v>462</v>
      </c>
      <c r="M517" t="s">
        <v>263</v>
      </c>
      <c r="O517" t="s">
        <v>463</v>
      </c>
      <c r="P517" t="s">
        <v>265</v>
      </c>
    </row>
    <row r="518" spans="1:16" x14ac:dyDescent="0.25">
      <c r="A518">
        <v>10397</v>
      </c>
      <c r="B518" t="s">
        <v>461</v>
      </c>
      <c r="C518" s="1">
        <v>35426</v>
      </c>
      <c r="D518" s="1" t="str">
        <f t="shared" si="24"/>
        <v>dez</v>
      </c>
      <c r="E518" s="1" t="str">
        <f t="shared" si="25"/>
        <v>1996</v>
      </c>
      <c r="F518" s="1">
        <v>35454</v>
      </c>
      <c r="G518" s="1">
        <v>35432</v>
      </c>
      <c r="H518">
        <v>1</v>
      </c>
      <c r="I518" t="str">
        <f t="shared" si="26"/>
        <v>UPS</v>
      </c>
      <c r="J518">
        <v>60.26</v>
      </c>
      <c r="K518" t="s">
        <v>31</v>
      </c>
      <c r="L518" t="s">
        <v>462</v>
      </c>
      <c r="M518" t="s">
        <v>263</v>
      </c>
      <c r="O518" t="s">
        <v>463</v>
      </c>
      <c r="P518" t="s">
        <v>265</v>
      </c>
    </row>
    <row r="519" spans="1:16" x14ac:dyDescent="0.25">
      <c r="A519">
        <v>10433</v>
      </c>
      <c r="B519" t="s">
        <v>461</v>
      </c>
      <c r="C519" s="1">
        <v>35464</v>
      </c>
      <c r="D519" s="1" t="str">
        <f t="shared" si="24"/>
        <v>fev</v>
      </c>
      <c r="E519" s="1" t="str">
        <f t="shared" si="25"/>
        <v>1997</v>
      </c>
      <c r="F519" s="1">
        <v>35492</v>
      </c>
      <c r="G519" s="1">
        <v>35493</v>
      </c>
      <c r="H519">
        <v>3</v>
      </c>
      <c r="I519" t="str">
        <f t="shared" si="26"/>
        <v>DHL</v>
      </c>
      <c r="J519">
        <v>73.83</v>
      </c>
      <c r="K519" t="s">
        <v>31</v>
      </c>
      <c r="L519" t="s">
        <v>462</v>
      </c>
      <c r="M519" t="s">
        <v>263</v>
      </c>
      <c r="O519" t="s">
        <v>463</v>
      </c>
      <c r="P519" t="s">
        <v>265</v>
      </c>
    </row>
    <row r="520" spans="1:16" x14ac:dyDescent="0.25">
      <c r="A520">
        <v>10477</v>
      </c>
      <c r="B520" t="s">
        <v>461</v>
      </c>
      <c r="C520" s="1">
        <v>35506</v>
      </c>
      <c r="D520" s="1" t="str">
        <f t="shared" si="24"/>
        <v>mar</v>
      </c>
      <c r="E520" s="1" t="str">
        <f t="shared" si="25"/>
        <v>1997</v>
      </c>
      <c r="F520" s="1">
        <v>35534</v>
      </c>
      <c r="G520" s="1">
        <v>35514</v>
      </c>
      <c r="H520">
        <v>2</v>
      </c>
      <c r="I520" t="str">
        <f t="shared" si="26"/>
        <v>USPS</v>
      </c>
      <c r="J520">
        <v>13.02</v>
      </c>
      <c r="K520" t="s">
        <v>31</v>
      </c>
      <c r="L520" t="s">
        <v>462</v>
      </c>
      <c r="M520" t="s">
        <v>263</v>
      </c>
      <c r="O520" t="s">
        <v>463</v>
      </c>
      <c r="P520" t="s">
        <v>265</v>
      </c>
    </row>
    <row r="521" spans="1:16" x14ac:dyDescent="0.25">
      <c r="A521">
        <v>10808</v>
      </c>
      <c r="B521" t="s">
        <v>461</v>
      </c>
      <c r="C521" s="1">
        <v>35796</v>
      </c>
      <c r="D521" s="1" t="str">
        <f t="shared" si="24"/>
        <v>jan</v>
      </c>
      <c r="E521" s="1" t="str">
        <f t="shared" si="25"/>
        <v>1998</v>
      </c>
      <c r="F521" s="1">
        <v>35824</v>
      </c>
      <c r="G521" s="1">
        <v>35804</v>
      </c>
      <c r="H521">
        <v>3</v>
      </c>
      <c r="I521" t="str">
        <f t="shared" si="26"/>
        <v>DHL</v>
      </c>
      <c r="J521">
        <v>45.53</v>
      </c>
      <c r="K521" t="s">
        <v>32</v>
      </c>
      <c r="L521" t="s">
        <v>432</v>
      </c>
      <c r="M521" t="s">
        <v>433</v>
      </c>
      <c r="N521" t="s">
        <v>434</v>
      </c>
      <c r="O521" t="s">
        <v>435</v>
      </c>
      <c r="P521" t="s">
        <v>290</v>
      </c>
    </row>
    <row r="522" spans="1:16" x14ac:dyDescent="0.25">
      <c r="A522">
        <v>11007</v>
      </c>
      <c r="B522" t="s">
        <v>461</v>
      </c>
      <c r="C522" s="1">
        <v>35893</v>
      </c>
      <c r="D522" s="1" t="str">
        <f t="shared" si="24"/>
        <v>abr</v>
      </c>
      <c r="E522" s="1" t="str">
        <f t="shared" si="25"/>
        <v>1998</v>
      </c>
      <c r="F522" s="1">
        <v>35921</v>
      </c>
      <c r="G522" s="1">
        <v>35898</v>
      </c>
      <c r="H522">
        <v>2</v>
      </c>
      <c r="I522" t="str">
        <f t="shared" si="26"/>
        <v>USPS</v>
      </c>
      <c r="J522">
        <v>202.24</v>
      </c>
      <c r="K522" t="s">
        <v>31</v>
      </c>
      <c r="L522" t="s">
        <v>462</v>
      </c>
      <c r="M522" t="s">
        <v>263</v>
      </c>
      <c r="O522" t="s">
        <v>463</v>
      </c>
      <c r="P522" t="s">
        <v>265</v>
      </c>
    </row>
    <row r="523" spans="1:16" x14ac:dyDescent="0.25">
      <c r="A523">
        <v>10261</v>
      </c>
      <c r="B523" t="s">
        <v>465</v>
      </c>
      <c r="C523" s="1">
        <v>35265</v>
      </c>
      <c r="D523" s="1" t="str">
        <f t="shared" si="24"/>
        <v>jul</v>
      </c>
      <c r="E523" s="1" t="str">
        <f t="shared" si="25"/>
        <v>1996</v>
      </c>
      <c r="F523" s="1">
        <v>35293</v>
      </c>
      <c r="G523" s="1">
        <v>35276</v>
      </c>
      <c r="H523">
        <v>2</v>
      </c>
      <c r="I523" t="str">
        <f t="shared" si="26"/>
        <v>USPS</v>
      </c>
      <c r="J523">
        <v>3.05</v>
      </c>
      <c r="K523" t="s">
        <v>30</v>
      </c>
      <c r="L523" t="s">
        <v>467</v>
      </c>
      <c r="M523" t="s">
        <v>303</v>
      </c>
      <c r="N523" t="s">
        <v>304</v>
      </c>
      <c r="O523" t="s">
        <v>468</v>
      </c>
      <c r="P523" t="s">
        <v>189</v>
      </c>
    </row>
    <row r="524" spans="1:16" x14ac:dyDescent="0.25">
      <c r="A524">
        <v>10291</v>
      </c>
      <c r="B524" t="s">
        <v>465</v>
      </c>
      <c r="C524" s="1">
        <v>35304</v>
      </c>
      <c r="D524" s="1" t="str">
        <f t="shared" si="24"/>
        <v>ago</v>
      </c>
      <c r="E524" s="1" t="str">
        <f t="shared" si="25"/>
        <v>1996</v>
      </c>
      <c r="F524" s="1">
        <v>35332</v>
      </c>
      <c r="G524" s="1">
        <v>35312</v>
      </c>
      <c r="H524">
        <v>2</v>
      </c>
      <c r="I524" t="str">
        <f t="shared" si="26"/>
        <v>USPS</v>
      </c>
      <c r="J524">
        <v>6.4</v>
      </c>
      <c r="K524" t="s">
        <v>30</v>
      </c>
      <c r="L524" t="s">
        <v>467</v>
      </c>
      <c r="M524" t="s">
        <v>303</v>
      </c>
      <c r="N524" t="s">
        <v>304</v>
      </c>
      <c r="O524" t="s">
        <v>468</v>
      </c>
      <c r="P524" t="s">
        <v>189</v>
      </c>
    </row>
    <row r="525" spans="1:16" x14ac:dyDescent="0.25">
      <c r="A525">
        <v>10379</v>
      </c>
      <c r="B525" t="s">
        <v>465</v>
      </c>
      <c r="C525" s="1">
        <v>35410</v>
      </c>
      <c r="D525" s="1" t="str">
        <f t="shared" si="24"/>
        <v>dez</v>
      </c>
      <c r="E525" s="1" t="str">
        <f t="shared" si="25"/>
        <v>1996</v>
      </c>
      <c r="F525" s="1">
        <v>35438</v>
      </c>
      <c r="G525" s="1">
        <v>35412</v>
      </c>
      <c r="H525">
        <v>1</v>
      </c>
      <c r="I525" t="str">
        <f t="shared" si="26"/>
        <v>UPS</v>
      </c>
      <c r="J525">
        <v>45.03</v>
      </c>
      <c r="K525" t="s">
        <v>30</v>
      </c>
      <c r="L525" t="s">
        <v>467</v>
      </c>
      <c r="M525" t="s">
        <v>303</v>
      </c>
      <c r="N525" t="s">
        <v>304</v>
      </c>
      <c r="O525" t="s">
        <v>468</v>
      </c>
      <c r="P525" t="s">
        <v>189</v>
      </c>
    </row>
    <row r="526" spans="1:16" x14ac:dyDescent="0.25">
      <c r="A526">
        <v>10421</v>
      </c>
      <c r="B526" t="s">
        <v>465</v>
      </c>
      <c r="C526" s="1">
        <v>35451</v>
      </c>
      <c r="D526" s="1" t="str">
        <f t="shared" si="24"/>
        <v>jan</v>
      </c>
      <c r="E526" s="1" t="str">
        <f t="shared" si="25"/>
        <v>1997</v>
      </c>
      <c r="F526" s="1">
        <v>35493</v>
      </c>
      <c r="G526" s="1">
        <v>35457</v>
      </c>
      <c r="H526">
        <v>1</v>
      </c>
      <c r="I526" t="str">
        <f t="shared" si="26"/>
        <v>UPS</v>
      </c>
      <c r="J526">
        <v>99.23</v>
      </c>
      <c r="K526" t="s">
        <v>30</v>
      </c>
      <c r="L526" t="s">
        <v>467</v>
      </c>
      <c r="M526" t="s">
        <v>303</v>
      </c>
      <c r="N526" t="s">
        <v>304</v>
      </c>
      <c r="O526" t="s">
        <v>468</v>
      </c>
      <c r="P526" t="s">
        <v>189</v>
      </c>
    </row>
    <row r="527" spans="1:16" x14ac:dyDescent="0.25">
      <c r="A527">
        <v>10587</v>
      </c>
      <c r="B527" t="s">
        <v>465</v>
      </c>
      <c r="C527" s="1">
        <v>35613</v>
      </c>
      <c r="D527" s="1" t="str">
        <f t="shared" si="24"/>
        <v>jul</v>
      </c>
      <c r="E527" s="1" t="str">
        <f t="shared" si="25"/>
        <v>1997</v>
      </c>
      <c r="F527" s="1">
        <v>35641</v>
      </c>
      <c r="G527" s="1">
        <v>35620</v>
      </c>
      <c r="H527">
        <v>1</v>
      </c>
      <c r="I527" t="str">
        <f t="shared" si="26"/>
        <v>UPS</v>
      </c>
      <c r="J527">
        <v>62.52</v>
      </c>
      <c r="K527" t="s">
        <v>30</v>
      </c>
      <c r="L527" t="s">
        <v>467</v>
      </c>
      <c r="M527" t="s">
        <v>303</v>
      </c>
      <c r="N527" t="s">
        <v>304</v>
      </c>
      <c r="O527" t="s">
        <v>468</v>
      </c>
      <c r="P527" t="s">
        <v>189</v>
      </c>
    </row>
    <row r="528" spans="1:16" x14ac:dyDescent="0.25">
      <c r="A528">
        <v>10647</v>
      </c>
      <c r="B528" t="s">
        <v>465</v>
      </c>
      <c r="C528" s="1">
        <v>35669</v>
      </c>
      <c r="D528" s="1" t="str">
        <f t="shared" si="24"/>
        <v>ago</v>
      </c>
      <c r="E528" s="1" t="str">
        <f t="shared" si="25"/>
        <v>1997</v>
      </c>
      <c r="F528" s="1">
        <v>35683</v>
      </c>
      <c r="G528" s="1">
        <v>35676</v>
      </c>
      <c r="H528">
        <v>2</v>
      </c>
      <c r="I528" t="str">
        <f t="shared" si="26"/>
        <v>USPS</v>
      </c>
      <c r="J528">
        <v>45.54</v>
      </c>
      <c r="K528" t="s">
        <v>30</v>
      </c>
      <c r="L528" t="s">
        <v>467</v>
      </c>
      <c r="M528" t="s">
        <v>303</v>
      </c>
      <c r="N528" t="s">
        <v>304</v>
      </c>
      <c r="O528" t="s">
        <v>468</v>
      </c>
      <c r="P528" t="s">
        <v>189</v>
      </c>
    </row>
    <row r="529" spans="1:16" x14ac:dyDescent="0.25">
      <c r="A529">
        <v>10720</v>
      </c>
      <c r="B529" t="s">
        <v>465</v>
      </c>
      <c r="C529" s="1">
        <v>35731</v>
      </c>
      <c r="D529" s="1" t="str">
        <f t="shared" si="24"/>
        <v>out</v>
      </c>
      <c r="E529" s="1" t="str">
        <f t="shared" si="25"/>
        <v>1997</v>
      </c>
      <c r="F529" s="1">
        <v>35745</v>
      </c>
      <c r="G529" s="1">
        <v>35739</v>
      </c>
      <c r="H529">
        <v>2</v>
      </c>
      <c r="I529" t="str">
        <f t="shared" si="26"/>
        <v>USPS</v>
      </c>
      <c r="J529">
        <v>9.5299999999999994</v>
      </c>
      <c r="K529" t="s">
        <v>30</v>
      </c>
      <c r="L529" t="s">
        <v>467</v>
      </c>
      <c r="M529" t="s">
        <v>303</v>
      </c>
      <c r="N529" t="s">
        <v>304</v>
      </c>
      <c r="O529" t="s">
        <v>468</v>
      </c>
      <c r="P529" t="s">
        <v>189</v>
      </c>
    </row>
    <row r="530" spans="1:16" x14ac:dyDescent="0.25">
      <c r="A530">
        <v>10794</v>
      </c>
      <c r="B530" t="s">
        <v>465</v>
      </c>
      <c r="C530" s="1">
        <v>35788</v>
      </c>
      <c r="D530" s="1" t="str">
        <f t="shared" si="24"/>
        <v>dez</v>
      </c>
      <c r="E530" s="1" t="str">
        <f t="shared" si="25"/>
        <v>1997</v>
      </c>
      <c r="F530" s="1">
        <v>35816</v>
      </c>
      <c r="G530" s="1">
        <v>35797</v>
      </c>
      <c r="H530">
        <v>1</v>
      </c>
      <c r="I530" t="str">
        <f t="shared" si="26"/>
        <v>UPS</v>
      </c>
      <c r="J530">
        <v>21.49</v>
      </c>
      <c r="K530" t="s">
        <v>30</v>
      </c>
      <c r="L530" t="s">
        <v>467</v>
      </c>
      <c r="M530" t="s">
        <v>303</v>
      </c>
      <c r="N530" t="s">
        <v>304</v>
      </c>
      <c r="O530" t="s">
        <v>468</v>
      </c>
      <c r="P530" t="s">
        <v>189</v>
      </c>
    </row>
    <row r="531" spans="1:16" x14ac:dyDescent="0.25">
      <c r="A531">
        <v>10989</v>
      </c>
      <c r="B531" t="s">
        <v>465</v>
      </c>
      <c r="C531" s="1">
        <v>35885</v>
      </c>
      <c r="D531" s="1" t="str">
        <f t="shared" si="24"/>
        <v>mar</v>
      </c>
      <c r="E531" s="1" t="str">
        <f t="shared" si="25"/>
        <v>1998</v>
      </c>
      <c r="F531" s="1">
        <v>35913</v>
      </c>
      <c r="G531" s="1">
        <v>35887</v>
      </c>
      <c r="H531">
        <v>1</v>
      </c>
      <c r="I531" t="str">
        <f t="shared" si="26"/>
        <v>UPS</v>
      </c>
      <c r="J531">
        <v>34.76</v>
      </c>
      <c r="K531" t="s">
        <v>30</v>
      </c>
      <c r="L531" t="s">
        <v>467</v>
      </c>
      <c r="M531" t="s">
        <v>303</v>
      </c>
      <c r="N531" t="s">
        <v>304</v>
      </c>
      <c r="O531" t="s">
        <v>468</v>
      </c>
      <c r="P531" t="s">
        <v>189</v>
      </c>
    </row>
    <row r="532" spans="1:16" x14ac:dyDescent="0.25">
      <c r="A532">
        <v>10372</v>
      </c>
      <c r="B532" t="s">
        <v>470</v>
      </c>
      <c r="C532" s="1">
        <v>35403</v>
      </c>
      <c r="D532" s="1" t="str">
        <f t="shared" si="24"/>
        <v>dez</v>
      </c>
      <c r="E532" s="1" t="str">
        <f t="shared" si="25"/>
        <v>1996</v>
      </c>
      <c r="F532" s="1">
        <v>35431</v>
      </c>
      <c r="G532" s="1">
        <v>35408</v>
      </c>
      <c r="H532">
        <v>2</v>
      </c>
      <c r="I532" t="str">
        <f t="shared" si="26"/>
        <v>USPS</v>
      </c>
      <c r="J532">
        <v>890.78</v>
      </c>
      <c r="K532" t="s">
        <v>29</v>
      </c>
      <c r="L532" t="s">
        <v>472</v>
      </c>
      <c r="M532" t="s">
        <v>186</v>
      </c>
      <c r="N532" t="s">
        <v>187</v>
      </c>
      <c r="O532" t="s">
        <v>473</v>
      </c>
      <c r="P532" t="s">
        <v>189</v>
      </c>
    </row>
    <row r="533" spans="1:16" x14ac:dyDescent="0.25">
      <c r="A533">
        <v>10406</v>
      </c>
      <c r="B533" t="s">
        <v>470</v>
      </c>
      <c r="C533" s="1">
        <v>35437</v>
      </c>
      <c r="D533" s="1" t="str">
        <f t="shared" si="24"/>
        <v>jan</v>
      </c>
      <c r="E533" s="1" t="str">
        <f t="shared" si="25"/>
        <v>1997</v>
      </c>
      <c r="F533" s="1">
        <v>35479</v>
      </c>
      <c r="G533" s="1">
        <v>35443</v>
      </c>
      <c r="H533">
        <v>1</v>
      </c>
      <c r="I533" t="str">
        <f t="shared" si="26"/>
        <v>UPS</v>
      </c>
      <c r="J533">
        <v>108.04</v>
      </c>
      <c r="K533" t="s">
        <v>29</v>
      </c>
      <c r="L533" t="s">
        <v>472</v>
      </c>
      <c r="M533" t="s">
        <v>186</v>
      </c>
      <c r="N533" t="s">
        <v>187</v>
      </c>
      <c r="O533" t="s">
        <v>473</v>
      </c>
      <c r="P533" t="s">
        <v>189</v>
      </c>
    </row>
    <row r="534" spans="1:16" x14ac:dyDescent="0.25">
      <c r="A534">
        <v>10487</v>
      </c>
      <c r="B534" t="s">
        <v>470</v>
      </c>
      <c r="C534" s="1">
        <v>35515</v>
      </c>
      <c r="D534" s="1" t="str">
        <f t="shared" si="24"/>
        <v>mar</v>
      </c>
      <c r="E534" s="1" t="str">
        <f t="shared" si="25"/>
        <v>1997</v>
      </c>
      <c r="F534" s="1">
        <v>35543</v>
      </c>
      <c r="G534" s="1">
        <v>35517</v>
      </c>
      <c r="H534">
        <v>2</v>
      </c>
      <c r="I534" t="str">
        <f t="shared" si="26"/>
        <v>USPS</v>
      </c>
      <c r="J534">
        <v>71.069999999999993</v>
      </c>
      <c r="K534" t="s">
        <v>29</v>
      </c>
      <c r="L534" t="s">
        <v>472</v>
      </c>
      <c r="M534" t="s">
        <v>186</v>
      </c>
      <c r="N534" t="s">
        <v>187</v>
      </c>
      <c r="O534" t="s">
        <v>473</v>
      </c>
      <c r="P534" t="s">
        <v>189</v>
      </c>
    </row>
    <row r="535" spans="1:16" x14ac:dyDescent="0.25">
      <c r="A535">
        <v>10637</v>
      </c>
      <c r="B535" t="s">
        <v>470</v>
      </c>
      <c r="C535" s="1">
        <v>35661</v>
      </c>
      <c r="D535" s="1" t="str">
        <f t="shared" si="24"/>
        <v>ago</v>
      </c>
      <c r="E535" s="1" t="str">
        <f t="shared" si="25"/>
        <v>1997</v>
      </c>
      <c r="F535" s="1">
        <v>35689</v>
      </c>
      <c r="G535" s="1">
        <v>35668</v>
      </c>
      <c r="H535">
        <v>1</v>
      </c>
      <c r="I535" t="str">
        <f t="shared" si="26"/>
        <v>UPS</v>
      </c>
      <c r="J535">
        <v>201.29</v>
      </c>
      <c r="K535" t="s">
        <v>29</v>
      </c>
      <c r="L535" t="s">
        <v>472</v>
      </c>
      <c r="M535" t="s">
        <v>186</v>
      </c>
      <c r="N535" t="s">
        <v>187</v>
      </c>
      <c r="O535" t="s">
        <v>473</v>
      </c>
      <c r="P535" t="s">
        <v>189</v>
      </c>
    </row>
    <row r="536" spans="1:16" x14ac:dyDescent="0.25">
      <c r="A536">
        <v>10659</v>
      </c>
      <c r="B536" t="s">
        <v>470</v>
      </c>
      <c r="C536" s="1">
        <v>35678</v>
      </c>
      <c r="D536" s="1" t="str">
        <f t="shared" si="24"/>
        <v>set</v>
      </c>
      <c r="E536" s="1" t="str">
        <f t="shared" si="25"/>
        <v>1997</v>
      </c>
      <c r="F536" s="1">
        <v>35706</v>
      </c>
      <c r="G536" s="1">
        <v>35683</v>
      </c>
      <c r="H536">
        <v>2</v>
      </c>
      <c r="I536" t="str">
        <f t="shared" si="26"/>
        <v>USPS</v>
      </c>
      <c r="J536">
        <v>105.81</v>
      </c>
      <c r="K536" t="s">
        <v>29</v>
      </c>
      <c r="L536" t="s">
        <v>472</v>
      </c>
      <c r="M536" t="s">
        <v>186</v>
      </c>
      <c r="N536" t="s">
        <v>187</v>
      </c>
      <c r="O536" t="s">
        <v>473</v>
      </c>
      <c r="P536" t="s">
        <v>189</v>
      </c>
    </row>
    <row r="537" spans="1:16" x14ac:dyDescent="0.25">
      <c r="A537">
        <v>10704</v>
      </c>
      <c r="B537" t="s">
        <v>470</v>
      </c>
      <c r="C537" s="1">
        <v>35717</v>
      </c>
      <c r="D537" s="1" t="str">
        <f t="shared" si="24"/>
        <v>out</v>
      </c>
      <c r="E537" s="1" t="str">
        <f t="shared" si="25"/>
        <v>1997</v>
      </c>
      <c r="F537" s="1">
        <v>35745</v>
      </c>
      <c r="G537" s="1">
        <v>35741</v>
      </c>
      <c r="H537">
        <v>1</v>
      </c>
      <c r="I537" t="str">
        <f t="shared" si="26"/>
        <v>UPS</v>
      </c>
      <c r="J537">
        <v>4.78</v>
      </c>
      <c r="K537" t="s">
        <v>29</v>
      </c>
      <c r="L537" t="s">
        <v>472</v>
      </c>
      <c r="M537" t="s">
        <v>186</v>
      </c>
      <c r="N537" t="s">
        <v>187</v>
      </c>
      <c r="O537" t="s">
        <v>473</v>
      </c>
      <c r="P537" t="s">
        <v>189</v>
      </c>
    </row>
    <row r="538" spans="1:16" x14ac:dyDescent="0.25">
      <c r="A538">
        <v>10728</v>
      </c>
      <c r="B538" t="s">
        <v>470</v>
      </c>
      <c r="C538" s="1">
        <v>35738</v>
      </c>
      <c r="D538" s="1" t="str">
        <f t="shared" si="24"/>
        <v>nov</v>
      </c>
      <c r="E538" s="1" t="str">
        <f t="shared" si="25"/>
        <v>1997</v>
      </c>
      <c r="F538" s="1">
        <v>35766</v>
      </c>
      <c r="G538" s="1">
        <v>35745</v>
      </c>
      <c r="H538">
        <v>2</v>
      </c>
      <c r="I538" t="str">
        <f t="shared" si="26"/>
        <v>USPS</v>
      </c>
      <c r="J538">
        <v>58.33</v>
      </c>
      <c r="K538" t="s">
        <v>29</v>
      </c>
      <c r="L538" t="s">
        <v>472</v>
      </c>
      <c r="M538" t="s">
        <v>186</v>
      </c>
      <c r="N538" t="s">
        <v>187</v>
      </c>
      <c r="O538" t="s">
        <v>473</v>
      </c>
      <c r="P538" t="s">
        <v>189</v>
      </c>
    </row>
    <row r="539" spans="1:16" x14ac:dyDescent="0.25">
      <c r="A539">
        <v>10786</v>
      </c>
      <c r="B539" t="s">
        <v>470</v>
      </c>
      <c r="C539" s="1">
        <v>35783</v>
      </c>
      <c r="D539" s="1" t="str">
        <f t="shared" si="24"/>
        <v>dez</v>
      </c>
      <c r="E539" s="1" t="str">
        <f t="shared" si="25"/>
        <v>1997</v>
      </c>
      <c r="F539" s="1">
        <v>35811</v>
      </c>
      <c r="G539" s="1">
        <v>35787</v>
      </c>
      <c r="H539">
        <v>1</v>
      </c>
      <c r="I539" t="str">
        <f t="shared" si="26"/>
        <v>UPS</v>
      </c>
      <c r="J539">
        <v>110.87</v>
      </c>
      <c r="K539" t="s">
        <v>29</v>
      </c>
      <c r="L539" t="s">
        <v>472</v>
      </c>
      <c r="M539" t="s">
        <v>186</v>
      </c>
      <c r="N539" t="s">
        <v>187</v>
      </c>
      <c r="O539" t="s">
        <v>473</v>
      </c>
      <c r="P539" t="s">
        <v>189</v>
      </c>
    </row>
    <row r="540" spans="1:16" x14ac:dyDescent="0.25">
      <c r="A540">
        <v>10868</v>
      </c>
      <c r="B540" t="s">
        <v>470</v>
      </c>
      <c r="C540" s="1">
        <v>35830</v>
      </c>
      <c r="D540" s="1" t="str">
        <f t="shared" si="24"/>
        <v>fev</v>
      </c>
      <c r="E540" s="1" t="str">
        <f t="shared" si="25"/>
        <v>1998</v>
      </c>
      <c r="F540" s="1">
        <v>35858</v>
      </c>
      <c r="G540" s="1">
        <v>35849</v>
      </c>
      <c r="H540">
        <v>2</v>
      </c>
      <c r="I540" t="str">
        <f t="shared" si="26"/>
        <v>USPS</v>
      </c>
      <c r="J540">
        <v>191.27</v>
      </c>
      <c r="K540" t="s">
        <v>29</v>
      </c>
      <c r="L540" t="s">
        <v>472</v>
      </c>
      <c r="M540" t="s">
        <v>186</v>
      </c>
      <c r="N540" t="s">
        <v>187</v>
      </c>
      <c r="O540" t="s">
        <v>473</v>
      </c>
      <c r="P540" t="s">
        <v>189</v>
      </c>
    </row>
    <row r="541" spans="1:16" x14ac:dyDescent="0.25">
      <c r="A541">
        <v>10913</v>
      </c>
      <c r="B541" t="s">
        <v>470</v>
      </c>
      <c r="C541" s="1">
        <v>35852</v>
      </c>
      <c r="D541" s="1" t="str">
        <f t="shared" si="24"/>
        <v>fev</v>
      </c>
      <c r="E541" s="1" t="str">
        <f t="shared" si="25"/>
        <v>1998</v>
      </c>
      <c r="F541" s="1">
        <v>35880</v>
      </c>
      <c r="G541" s="1">
        <v>35858</v>
      </c>
      <c r="H541">
        <v>1</v>
      </c>
      <c r="I541" t="str">
        <f t="shared" si="26"/>
        <v>UPS</v>
      </c>
      <c r="J541">
        <v>33.049999999999997</v>
      </c>
      <c r="K541" t="s">
        <v>29</v>
      </c>
      <c r="L541" t="s">
        <v>472</v>
      </c>
      <c r="M541" t="s">
        <v>186</v>
      </c>
      <c r="N541" t="s">
        <v>187</v>
      </c>
      <c r="O541" t="s">
        <v>473</v>
      </c>
      <c r="P541" t="s">
        <v>189</v>
      </c>
    </row>
    <row r="542" spans="1:16" x14ac:dyDescent="0.25">
      <c r="A542">
        <v>10914</v>
      </c>
      <c r="B542" t="s">
        <v>470</v>
      </c>
      <c r="C542" s="1">
        <v>35853</v>
      </c>
      <c r="D542" s="1" t="str">
        <f t="shared" si="24"/>
        <v>fev</v>
      </c>
      <c r="E542" s="1" t="str">
        <f t="shared" si="25"/>
        <v>1998</v>
      </c>
      <c r="F542" s="1">
        <v>35881</v>
      </c>
      <c r="G542" s="1">
        <v>35856</v>
      </c>
      <c r="H542">
        <v>1</v>
      </c>
      <c r="I542" t="str">
        <f t="shared" si="26"/>
        <v>UPS</v>
      </c>
      <c r="J542">
        <v>21.19</v>
      </c>
      <c r="K542" t="s">
        <v>29</v>
      </c>
      <c r="L542" t="s">
        <v>472</v>
      </c>
      <c r="M542" t="s">
        <v>186</v>
      </c>
      <c r="N542" t="s">
        <v>187</v>
      </c>
      <c r="O542" t="s">
        <v>473</v>
      </c>
      <c r="P542" t="s">
        <v>189</v>
      </c>
    </row>
    <row r="543" spans="1:16" x14ac:dyDescent="0.25">
      <c r="A543">
        <v>10961</v>
      </c>
      <c r="B543" t="s">
        <v>470</v>
      </c>
      <c r="C543" s="1">
        <v>35873</v>
      </c>
      <c r="D543" s="1" t="str">
        <f t="shared" si="24"/>
        <v>mar</v>
      </c>
      <c r="E543" s="1" t="str">
        <f t="shared" si="25"/>
        <v>1998</v>
      </c>
      <c r="F543" s="1">
        <v>35901</v>
      </c>
      <c r="G543" s="1">
        <v>35884</v>
      </c>
      <c r="H543">
        <v>1</v>
      </c>
      <c r="I543" t="str">
        <f t="shared" si="26"/>
        <v>UPS</v>
      </c>
      <c r="J543">
        <v>104.47</v>
      </c>
      <c r="K543" t="s">
        <v>29</v>
      </c>
      <c r="L543" t="s">
        <v>472</v>
      </c>
      <c r="M543" t="s">
        <v>186</v>
      </c>
      <c r="N543" t="s">
        <v>187</v>
      </c>
      <c r="O543" t="s">
        <v>473</v>
      </c>
      <c r="P543" t="s">
        <v>189</v>
      </c>
    </row>
    <row r="544" spans="1:16" x14ac:dyDescent="0.25">
      <c r="A544">
        <v>11068</v>
      </c>
      <c r="B544" t="s">
        <v>470</v>
      </c>
      <c r="C544" s="1">
        <v>35919</v>
      </c>
      <c r="D544" s="1" t="str">
        <f t="shared" si="24"/>
        <v>mai</v>
      </c>
      <c r="E544" s="1" t="str">
        <f t="shared" si="25"/>
        <v>1998</v>
      </c>
      <c r="F544" s="1">
        <v>35947</v>
      </c>
      <c r="G544" s="1"/>
      <c r="H544">
        <v>2</v>
      </c>
      <c r="I544" t="str">
        <f t="shared" si="26"/>
        <v>USPS</v>
      </c>
      <c r="J544">
        <v>81.75</v>
      </c>
      <c r="K544" t="s">
        <v>29</v>
      </c>
      <c r="L544" t="s">
        <v>472</v>
      </c>
      <c r="M544" t="s">
        <v>186</v>
      </c>
      <c r="N544" t="s">
        <v>187</v>
      </c>
      <c r="O544" t="s">
        <v>473</v>
      </c>
      <c r="P544" t="s">
        <v>189</v>
      </c>
    </row>
    <row r="545" spans="1:16" x14ac:dyDescent="0.25">
      <c r="A545">
        <v>10273</v>
      </c>
      <c r="B545" t="s">
        <v>475</v>
      </c>
      <c r="C545" s="1">
        <v>35282</v>
      </c>
      <c r="D545" s="1" t="str">
        <f t="shared" si="24"/>
        <v>ago</v>
      </c>
      <c r="E545" s="1" t="str">
        <f t="shared" si="25"/>
        <v>1996</v>
      </c>
      <c r="F545" s="1">
        <v>35310</v>
      </c>
      <c r="G545" s="1">
        <v>35289</v>
      </c>
      <c r="H545">
        <v>3</v>
      </c>
      <c r="I545" t="str">
        <f t="shared" si="26"/>
        <v>DHL</v>
      </c>
      <c r="J545">
        <v>76.069999999999993</v>
      </c>
      <c r="K545" t="s">
        <v>28</v>
      </c>
      <c r="L545" t="s">
        <v>477</v>
      </c>
      <c r="M545" t="s">
        <v>478</v>
      </c>
      <c r="O545" t="s">
        <v>479</v>
      </c>
      <c r="P545" t="s">
        <v>94</v>
      </c>
    </row>
    <row r="546" spans="1:16" x14ac:dyDescent="0.25">
      <c r="A546">
        <v>10285</v>
      </c>
      <c r="B546" t="s">
        <v>475</v>
      </c>
      <c r="C546" s="1">
        <v>35297</v>
      </c>
      <c r="D546" s="1" t="str">
        <f t="shared" si="24"/>
        <v>ago</v>
      </c>
      <c r="E546" s="1" t="str">
        <f t="shared" si="25"/>
        <v>1996</v>
      </c>
      <c r="F546" s="1">
        <v>35325</v>
      </c>
      <c r="G546" s="1">
        <v>35303</v>
      </c>
      <c r="H546">
        <v>2</v>
      </c>
      <c r="I546" t="str">
        <f t="shared" si="26"/>
        <v>USPS</v>
      </c>
      <c r="J546">
        <v>76.83</v>
      </c>
      <c r="K546" t="s">
        <v>28</v>
      </c>
      <c r="L546" t="s">
        <v>477</v>
      </c>
      <c r="M546" t="s">
        <v>478</v>
      </c>
      <c r="O546" t="s">
        <v>479</v>
      </c>
      <c r="P546" t="s">
        <v>94</v>
      </c>
    </row>
    <row r="547" spans="1:16" x14ac:dyDescent="0.25">
      <c r="A547">
        <v>10286</v>
      </c>
      <c r="B547" t="s">
        <v>475</v>
      </c>
      <c r="C547" s="1">
        <v>35298</v>
      </c>
      <c r="D547" s="1" t="str">
        <f t="shared" si="24"/>
        <v>ago</v>
      </c>
      <c r="E547" s="1" t="str">
        <f t="shared" si="25"/>
        <v>1996</v>
      </c>
      <c r="F547" s="1">
        <v>35326</v>
      </c>
      <c r="G547" s="1">
        <v>35307</v>
      </c>
      <c r="H547">
        <v>3</v>
      </c>
      <c r="I547" t="str">
        <f t="shared" si="26"/>
        <v>DHL</v>
      </c>
      <c r="J547">
        <v>229.24</v>
      </c>
      <c r="K547" t="s">
        <v>28</v>
      </c>
      <c r="L547" t="s">
        <v>477</v>
      </c>
      <c r="M547" t="s">
        <v>478</v>
      </c>
      <c r="O547" t="s">
        <v>479</v>
      </c>
      <c r="P547" t="s">
        <v>94</v>
      </c>
    </row>
    <row r="548" spans="1:16" x14ac:dyDescent="0.25">
      <c r="A548">
        <v>10313</v>
      </c>
      <c r="B548" t="s">
        <v>475</v>
      </c>
      <c r="C548" s="1">
        <v>35332</v>
      </c>
      <c r="D548" s="1" t="str">
        <f t="shared" si="24"/>
        <v>set</v>
      </c>
      <c r="E548" s="1" t="str">
        <f t="shared" si="25"/>
        <v>1996</v>
      </c>
      <c r="F548" s="1">
        <v>35360</v>
      </c>
      <c r="G548" s="1">
        <v>35342</v>
      </c>
      <c r="H548">
        <v>2</v>
      </c>
      <c r="I548" t="str">
        <f t="shared" si="26"/>
        <v>USPS</v>
      </c>
      <c r="J548">
        <v>1.96</v>
      </c>
      <c r="K548" t="s">
        <v>28</v>
      </c>
      <c r="L548" t="s">
        <v>477</v>
      </c>
      <c r="M548" t="s">
        <v>478</v>
      </c>
      <c r="O548" t="s">
        <v>479</v>
      </c>
      <c r="P548" t="s">
        <v>94</v>
      </c>
    </row>
    <row r="549" spans="1:16" x14ac:dyDescent="0.25">
      <c r="A549">
        <v>10345</v>
      </c>
      <c r="B549" t="s">
        <v>475</v>
      </c>
      <c r="C549" s="1">
        <v>35373</v>
      </c>
      <c r="D549" s="1" t="str">
        <f t="shared" si="24"/>
        <v>nov</v>
      </c>
      <c r="E549" s="1" t="str">
        <f t="shared" si="25"/>
        <v>1996</v>
      </c>
      <c r="F549" s="1">
        <v>35401</v>
      </c>
      <c r="G549" s="1">
        <v>35380</v>
      </c>
      <c r="H549">
        <v>2</v>
      </c>
      <c r="I549" t="str">
        <f t="shared" si="26"/>
        <v>USPS</v>
      </c>
      <c r="J549">
        <v>249.06</v>
      </c>
      <c r="K549" t="s">
        <v>28</v>
      </c>
      <c r="L549" t="s">
        <v>477</v>
      </c>
      <c r="M549" t="s">
        <v>478</v>
      </c>
      <c r="O549" t="s">
        <v>479</v>
      </c>
      <c r="P549" t="s">
        <v>94</v>
      </c>
    </row>
    <row r="550" spans="1:16" x14ac:dyDescent="0.25">
      <c r="A550">
        <v>10361</v>
      </c>
      <c r="B550" t="s">
        <v>475</v>
      </c>
      <c r="C550" s="1">
        <v>35391</v>
      </c>
      <c r="D550" s="1" t="str">
        <f t="shared" si="24"/>
        <v>nov</v>
      </c>
      <c r="E550" s="1" t="str">
        <f t="shared" si="25"/>
        <v>1996</v>
      </c>
      <c r="F550" s="1">
        <v>35419</v>
      </c>
      <c r="G550" s="1">
        <v>35402</v>
      </c>
      <c r="H550">
        <v>2</v>
      </c>
      <c r="I550" t="str">
        <f t="shared" si="26"/>
        <v>USPS</v>
      </c>
      <c r="J550">
        <v>183.17</v>
      </c>
      <c r="K550" t="s">
        <v>28</v>
      </c>
      <c r="L550" t="s">
        <v>477</v>
      </c>
      <c r="M550" t="s">
        <v>478</v>
      </c>
      <c r="O550" t="s">
        <v>479</v>
      </c>
      <c r="P550" t="s">
        <v>94</v>
      </c>
    </row>
    <row r="551" spans="1:16" x14ac:dyDescent="0.25">
      <c r="A551">
        <v>10418</v>
      </c>
      <c r="B551" t="s">
        <v>475</v>
      </c>
      <c r="C551" s="1">
        <v>35447</v>
      </c>
      <c r="D551" s="1" t="str">
        <f t="shared" si="24"/>
        <v>jan</v>
      </c>
      <c r="E551" s="1" t="str">
        <f t="shared" si="25"/>
        <v>1997</v>
      </c>
      <c r="F551" s="1">
        <v>35475</v>
      </c>
      <c r="G551" s="1">
        <v>35454</v>
      </c>
      <c r="H551">
        <v>1</v>
      </c>
      <c r="I551" t="str">
        <f t="shared" si="26"/>
        <v>UPS</v>
      </c>
      <c r="J551">
        <v>17.55</v>
      </c>
      <c r="K551" t="s">
        <v>28</v>
      </c>
      <c r="L551" t="s">
        <v>477</v>
      </c>
      <c r="M551" t="s">
        <v>478</v>
      </c>
      <c r="O551" t="s">
        <v>479</v>
      </c>
      <c r="P551" t="s">
        <v>94</v>
      </c>
    </row>
    <row r="552" spans="1:16" x14ac:dyDescent="0.25">
      <c r="A552">
        <v>10451</v>
      </c>
      <c r="B552" t="s">
        <v>475</v>
      </c>
      <c r="C552" s="1">
        <v>35480</v>
      </c>
      <c r="D552" s="1" t="str">
        <f t="shared" si="24"/>
        <v>fev</v>
      </c>
      <c r="E552" s="1" t="str">
        <f t="shared" si="25"/>
        <v>1997</v>
      </c>
      <c r="F552" s="1">
        <v>35494</v>
      </c>
      <c r="G552" s="1">
        <v>35501</v>
      </c>
      <c r="H552">
        <v>3</v>
      </c>
      <c r="I552" t="str">
        <f t="shared" si="26"/>
        <v>DHL</v>
      </c>
      <c r="J552">
        <v>189.09</v>
      </c>
      <c r="K552" t="s">
        <v>28</v>
      </c>
      <c r="L552" t="s">
        <v>477</v>
      </c>
      <c r="M552" t="s">
        <v>478</v>
      </c>
      <c r="O552" t="s">
        <v>479</v>
      </c>
      <c r="P552" t="s">
        <v>94</v>
      </c>
    </row>
    <row r="553" spans="1:16" x14ac:dyDescent="0.25">
      <c r="A553">
        <v>10515</v>
      </c>
      <c r="B553" t="s">
        <v>475</v>
      </c>
      <c r="C553" s="1">
        <v>35543</v>
      </c>
      <c r="D553" s="1" t="str">
        <f t="shared" si="24"/>
        <v>abr</v>
      </c>
      <c r="E553" s="1" t="str">
        <f t="shared" si="25"/>
        <v>1997</v>
      </c>
      <c r="F553" s="1">
        <v>35557</v>
      </c>
      <c r="G553" s="1">
        <v>35573</v>
      </c>
      <c r="H553">
        <v>1</v>
      </c>
      <c r="I553" t="str">
        <f t="shared" si="26"/>
        <v>UPS</v>
      </c>
      <c r="J553">
        <v>204.47</v>
      </c>
      <c r="K553" t="s">
        <v>28</v>
      </c>
      <c r="L553" t="s">
        <v>477</v>
      </c>
      <c r="M553" t="s">
        <v>478</v>
      </c>
      <c r="O553" t="s">
        <v>479</v>
      </c>
      <c r="P553" t="s">
        <v>94</v>
      </c>
    </row>
    <row r="554" spans="1:16" x14ac:dyDescent="0.25">
      <c r="A554">
        <v>10527</v>
      </c>
      <c r="B554" t="s">
        <v>475</v>
      </c>
      <c r="C554" s="1">
        <v>35555</v>
      </c>
      <c r="D554" s="1" t="str">
        <f t="shared" si="24"/>
        <v>mai</v>
      </c>
      <c r="E554" s="1" t="str">
        <f t="shared" si="25"/>
        <v>1997</v>
      </c>
      <c r="F554" s="1">
        <v>35583</v>
      </c>
      <c r="G554" s="1">
        <v>35557</v>
      </c>
      <c r="H554">
        <v>1</v>
      </c>
      <c r="I554" t="str">
        <f t="shared" si="26"/>
        <v>UPS</v>
      </c>
      <c r="J554">
        <v>41.9</v>
      </c>
      <c r="K554" t="s">
        <v>28</v>
      </c>
      <c r="L554" t="s">
        <v>477</v>
      </c>
      <c r="M554" t="s">
        <v>478</v>
      </c>
      <c r="O554" t="s">
        <v>479</v>
      </c>
      <c r="P554" t="s">
        <v>94</v>
      </c>
    </row>
    <row r="555" spans="1:16" x14ac:dyDescent="0.25">
      <c r="A555">
        <v>10540</v>
      </c>
      <c r="B555" t="s">
        <v>475</v>
      </c>
      <c r="C555" s="1">
        <v>35569</v>
      </c>
      <c r="D555" s="1" t="str">
        <f t="shared" si="24"/>
        <v>mai</v>
      </c>
      <c r="E555" s="1" t="str">
        <f t="shared" si="25"/>
        <v>1997</v>
      </c>
      <c r="F555" s="1">
        <v>35597</v>
      </c>
      <c r="G555" s="1">
        <v>35594</v>
      </c>
      <c r="H555">
        <v>3</v>
      </c>
      <c r="I555" t="str">
        <f t="shared" si="26"/>
        <v>DHL</v>
      </c>
      <c r="J555">
        <v>1007.64</v>
      </c>
      <c r="K555" t="s">
        <v>28</v>
      </c>
      <c r="L555" t="s">
        <v>477</v>
      </c>
      <c r="M555" t="s">
        <v>478</v>
      </c>
      <c r="O555" t="s">
        <v>479</v>
      </c>
      <c r="P555" t="s">
        <v>94</v>
      </c>
    </row>
    <row r="556" spans="1:16" x14ac:dyDescent="0.25">
      <c r="A556">
        <v>10549</v>
      </c>
      <c r="B556" t="s">
        <v>475</v>
      </c>
      <c r="C556" s="1">
        <v>35577</v>
      </c>
      <c r="D556" s="1" t="str">
        <f t="shared" si="24"/>
        <v>mai</v>
      </c>
      <c r="E556" s="1" t="str">
        <f t="shared" si="25"/>
        <v>1997</v>
      </c>
      <c r="F556" s="1">
        <v>35591</v>
      </c>
      <c r="G556" s="1">
        <v>35580</v>
      </c>
      <c r="H556">
        <v>1</v>
      </c>
      <c r="I556" t="str">
        <f t="shared" si="26"/>
        <v>UPS</v>
      </c>
      <c r="J556">
        <v>171.24</v>
      </c>
      <c r="K556" t="s">
        <v>28</v>
      </c>
      <c r="L556" t="s">
        <v>477</v>
      </c>
      <c r="M556" t="s">
        <v>478</v>
      </c>
      <c r="O556" t="s">
        <v>479</v>
      </c>
      <c r="P556" t="s">
        <v>94</v>
      </c>
    </row>
    <row r="557" spans="1:16" x14ac:dyDescent="0.25">
      <c r="A557">
        <v>10588</v>
      </c>
      <c r="B557" t="s">
        <v>475</v>
      </c>
      <c r="C557" s="1">
        <v>35614</v>
      </c>
      <c r="D557" s="1" t="str">
        <f t="shared" si="24"/>
        <v>jul</v>
      </c>
      <c r="E557" s="1" t="str">
        <f t="shared" si="25"/>
        <v>1997</v>
      </c>
      <c r="F557" s="1">
        <v>35642</v>
      </c>
      <c r="G557" s="1">
        <v>35621</v>
      </c>
      <c r="H557">
        <v>3</v>
      </c>
      <c r="I557" t="str">
        <f t="shared" si="26"/>
        <v>DHL</v>
      </c>
      <c r="J557">
        <v>194.67</v>
      </c>
      <c r="K557" t="s">
        <v>28</v>
      </c>
      <c r="L557" t="s">
        <v>477</v>
      </c>
      <c r="M557" t="s">
        <v>478</v>
      </c>
      <c r="O557" t="s">
        <v>479</v>
      </c>
      <c r="P557" t="s">
        <v>94</v>
      </c>
    </row>
    <row r="558" spans="1:16" x14ac:dyDescent="0.25">
      <c r="A558">
        <v>10658</v>
      </c>
      <c r="B558" t="s">
        <v>475</v>
      </c>
      <c r="C558" s="1">
        <v>35678</v>
      </c>
      <c r="D558" s="1" t="str">
        <f t="shared" si="24"/>
        <v>set</v>
      </c>
      <c r="E558" s="1" t="str">
        <f t="shared" si="25"/>
        <v>1997</v>
      </c>
      <c r="F558" s="1">
        <v>35706</v>
      </c>
      <c r="G558" s="1">
        <v>35681</v>
      </c>
      <c r="H558">
        <v>1</v>
      </c>
      <c r="I558" t="str">
        <f t="shared" si="26"/>
        <v>UPS</v>
      </c>
      <c r="J558">
        <v>364.15</v>
      </c>
      <c r="K558" t="s">
        <v>28</v>
      </c>
      <c r="L558" t="s">
        <v>477</v>
      </c>
      <c r="M558" t="s">
        <v>478</v>
      </c>
      <c r="O558" t="s">
        <v>479</v>
      </c>
      <c r="P558" t="s">
        <v>94</v>
      </c>
    </row>
    <row r="559" spans="1:16" x14ac:dyDescent="0.25">
      <c r="A559">
        <v>10691</v>
      </c>
      <c r="B559" t="s">
        <v>475</v>
      </c>
      <c r="C559" s="1">
        <v>35706</v>
      </c>
      <c r="D559" s="1" t="str">
        <f t="shared" si="24"/>
        <v>out</v>
      </c>
      <c r="E559" s="1" t="str">
        <f t="shared" si="25"/>
        <v>1997</v>
      </c>
      <c r="F559" s="1">
        <v>35748</v>
      </c>
      <c r="G559" s="1">
        <v>35725</v>
      </c>
      <c r="H559">
        <v>2</v>
      </c>
      <c r="I559" t="str">
        <f t="shared" si="26"/>
        <v>USPS</v>
      </c>
      <c r="J559">
        <v>810.05</v>
      </c>
      <c r="K559" t="s">
        <v>28</v>
      </c>
      <c r="L559" t="s">
        <v>477</v>
      </c>
      <c r="M559" t="s">
        <v>478</v>
      </c>
      <c r="O559" t="s">
        <v>479</v>
      </c>
      <c r="P559" t="s">
        <v>94</v>
      </c>
    </row>
    <row r="560" spans="1:16" x14ac:dyDescent="0.25">
      <c r="A560">
        <v>10694</v>
      </c>
      <c r="B560" t="s">
        <v>475</v>
      </c>
      <c r="C560" s="1">
        <v>35709</v>
      </c>
      <c r="D560" s="1" t="str">
        <f t="shared" si="24"/>
        <v>out</v>
      </c>
      <c r="E560" s="1" t="str">
        <f t="shared" si="25"/>
        <v>1997</v>
      </c>
      <c r="F560" s="1">
        <v>35737</v>
      </c>
      <c r="G560" s="1">
        <v>35712</v>
      </c>
      <c r="H560">
        <v>3</v>
      </c>
      <c r="I560" t="str">
        <f t="shared" si="26"/>
        <v>DHL</v>
      </c>
      <c r="J560">
        <v>398.36</v>
      </c>
      <c r="K560" t="s">
        <v>28</v>
      </c>
      <c r="L560" t="s">
        <v>477</v>
      </c>
      <c r="M560" t="s">
        <v>478</v>
      </c>
      <c r="O560" t="s">
        <v>479</v>
      </c>
      <c r="P560" t="s">
        <v>94</v>
      </c>
    </row>
    <row r="561" spans="1:16" x14ac:dyDescent="0.25">
      <c r="A561">
        <v>10721</v>
      </c>
      <c r="B561" t="s">
        <v>475</v>
      </c>
      <c r="C561" s="1">
        <v>35732</v>
      </c>
      <c r="D561" s="1" t="str">
        <f t="shared" si="24"/>
        <v>out</v>
      </c>
      <c r="E561" s="1" t="str">
        <f t="shared" si="25"/>
        <v>1997</v>
      </c>
      <c r="F561" s="1">
        <v>35760</v>
      </c>
      <c r="G561" s="1">
        <v>35734</v>
      </c>
      <c r="H561">
        <v>3</v>
      </c>
      <c r="I561" t="str">
        <f t="shared" si="26"/>
        <v>DHL</v>
      </c>
      <c r="J561">
        <v>48.92</v>
      </c>
      <c r="K561" t="s">
        <v>28</v>
      </c>
      <c r="L561" t="s">
        <v>477</v>
      </c>
      <c r="M561" t="s">
        <v>478</v>
      </c>
      <c r="O561" t="s">
        <v>479</v>
      </c>
      <c r="P561" t="s">
        <v>94</v>
      </c>
    </row>
    <row r="562" spans="1:16" x14ac:dyDescent="0.25">
      <c r="A562">
        <v>10745</v>
      </c>
      <c r="B562" t="s">
        <v>475</v>
      </c>
      <c r="C562" s="1">
        <v>35752</v>
      </c>
      <c r="D562" s="1" t="str">
        <f t="shared" si="24"/>
        <v>nov</v>
      </c>
      <c r="E562" s="1" t="str">
        <f t="shared" si="25"/>
        <v>1997</v>
      </c>
      <c r="F562" s="1">
        <v>35780</v>
      </c>
      <c r="G562" s="1">
        <v>35761</v>
      </c>
      <c r="H562">
        <v>1</v>
      </c>
      <c r="I562" t="str">
        <f t="shared" si="26"/>
        <v>UPS</v>
      </c>
      <c r="J562">
        <v>3.52</v>
      </c>
      <c r="K562" t="s">
        <v>28</v>
      </c>
      <c r="L562" t="s">
        <v>477</v>
      </c>
      <c r="M562" t="s">
        <v>478</v>
      </c>
      <c r="O562" t="s">
        <v>479</v>
      </c>
      <c r="P562" t="s">
        <v>94</v>
      </c>
    </row>
    <row r="563" spans="1:16" x14ac:dyDescent="0.25">
      <c r="A563">
        <v>10765</v>
      </c>
      <c r="B563" t="s">
        <v>475</v>
      </c>
      <c r="C563" s="1">
        <v>35768</v>
      </c>
      <c r="D563" s="1" t="str">
        <f t="shared" si="24"/>
        <v>dez</v>
      </c>
      <c r="E563" s="1" t="str">
        <f t="shared" si="25"/>
        <v>1997</v>
      </c>
      <c r="F563" s="1">
        <v>35796</v>
      </c>
      <c r="G563" s="1">
        <v>35773</v>
      </c>
      <c r="H563">
        <v>3</v>
      </c>
      <c r="I563" t="str">
        <f t="shared" si="26"/>
        <v>DHL</v>
      </c>
      <c r="J563">
        <v>42.74</v>
      </c>
      <c r="K563" t="s">
        <v>28</v>
      </c>
      <c r="L563" t="s">
        <v>477</v>
      </c>
      <c r="M563" t="s">
        <v>478</v>
      </c>
      <c r="O563" t="s">
        <v>479</v>
      </c>
      <c r="P563" t="s">
        <v>94</v>
      </c>
    </row>
    <row r="564" spans="1:16" x14ac:dyDescent="0.25">
      <c r="A564">
        <v>10788</v>
      </c>
      <c r="B564" t="s">
        <v>475</v>
      </c>
      <c r="C564" s="1">
        <v>35786</v>
      </c>
      <c r="D564" s="1" t="str">
        <f t="shared" si="24"/>
        <v>dez</v>
      </c>
      <c r="E564" s="1" t="str">
        <f t="shared" si="25"/>
        <v>1997</v>
      </c>
      <c r="F564" s="1">
        <v>35814</v>
      </c>
      <c r="G564" s="1">
        <v>35814</v>
      </c>
      <c r="H564">
        <v>2</v>
      </c>
      <c r="I564" t="str">
        <f t="shared" si="26"/>
        <v>USPS</v>
      </c>
      <c r="J564">
        <v>42.7</v>
      </c>
      <c r="K564" t="s">
        <v>28</v>
      </c>
      <c r="L564" t="s">
        <v>477</v>
      </c>
      <c r="M564" t="s">
        <v>478</v>
      </c>
      <c r="O564" t="s">
        <v>479</v>
      </c>
      <c r="P564" t="s">
        <v>94</v>
      </c>
    </row>
    <row r="565" spans="1:16" x14ac:dyDescent="0.25">
      <c r="A565">
        <v>10845</v>
      </c>
      <c r="B565" t="s">
        <v>475</v>
      </c>
      <c r="C565" s="1">
        <v>35816</v>
      </c>
      <c r="D565" s="1" t="str">
        <f t="shared" si="24"/>
        <v>jan</v>
      </c>
      <c r="E565" s="1" t="str">
        <f t="shared" si="25"/>
        <v>1998</v>
      </c>
      <c r="F565" s="1">
        <v>35830</v>
      </c>
      <c r="G565" s="1">
        <v>35825</v>
      </c>
      <c r="H565">
        <v>1</v>
      </c>
      <c r="I565" t="str">
        <f t="shared" si="26"/>
        <v>UPS</v>
      </c>
      <c r="J565">
        <v>212.98</v>
      </c>
      <c r="K565" t="s">
        <v>28</v>
      </c>
      <c r="L565" t="s">
        <v>477</v>
      </c>
      <c r="M565" t="s">
        <v>478</v>
      </c>
      <c r="O565" t="s">
        <v>479</v>
      </c>
      <c r="P565" t="s">
        <v>94</v>
      </c>
    </row>
    <row r="566" spans="1:16" x14ac:dyDescent="0.25">
      <c r="A566">
        <v>10865</v>
      </c>
      <c r="B566" t="s">
        <v>475</v>
      </c>
      <c r="C566" s="1">
        <v>35828</v>
      </c>
      <c r="D566" s="1" t="str">
        <f t="shared" si="24"/>
        <v>fev</v>
      </c>
      <c r="E566" s="1" t="str">
        <f t="shared" si="25"/>
        <v>1998</v>
      </c>
      <c r="F566" s="1">
        <v>35842</v>
      </c>
      <c r="G566" s="1">
        <v>35838</v>
      </c>
      <c r="H566">
        <v>1</v>
      </c>
      <c r="I566" t="str">
        <f t="shared" si="26"/>
        <v>UPS</v>
      </c>
      <c r="J566">
        <v>348.14</v>
      </c>
      <c r="K566" t="s">
        <v>28</v>
      </c>
      <c r="L566" t="s">
        <v>477</v>
      </c>
      <c r="M566" t="s">
        <v>478</v>
      </c>
      <c r="O566" t="s">
        <v>479</v>
      </c>
      <c r="P566" t="s">
        <v>94</v>
      </c>
    </row>
    <row r="567" spans="1:16" x14ac:dyDescent="0.25">
      <c r="A567">
        <v>10878</v>
      </c>
      <c r="B567" t="s">
        <v>475</v>
      </c>
      <c r="C567" s="1">
        <v>35836</v>
      </c>
      <c r="D567" s="1" t="str">
        <f t="shared" si="24"/>
        <v>fev</v>
      </c>
      <c r="E567" s="1" t="str">
        <f t="shared" si="25"/>
        <v>1998</v>
      </c>
      <c r="F567" s="1">
        <v>35864</v>
      </c>
      <c r="G567" s="1">
        <v>35838</v>
      </c>
      <c r="H567">
        <v>1</v>
      </c>
      <c r="I567" t="str">
        <f t="shared" si="26"/>
        <v>UPS</v>
      </c>
      <c r="J567">
        <v>46.69</v>
      </c>
      <c r="K567" t="s">
        <v>28</v>
      </c>
      <c r="L567" t="s">
        <v>477</v>
      </c>
      <c r="M567" t="s">
        <v>478</v>
      </c>
      <c r="O567" t="s">
        <v>479</v>
      </c>
      <c r="P567" t="s">
        <v>94</v>
      </c>
    </row>
    <row r="568" spans="1:16" x14ac:dyDescent="0.25">
      <c r="A568">
        <v>10938</v>
      </c>
      <c r="B568" t="s">
        <v>475</v>
      </c>
      <c r="C568" s="1">
        <v>35864</v>
      </c>
      <c r="D568" s="1" t="str">
        <f t="shared" si="24"/>
        <v>mar</v>
      </c>
      <c r="E568" s="1" t="str">
        <f t="shared" si="25"/>
        <v>1998</v>
      </c>
      <c r="F568" s="1">
        <v>35892</v>
      </c>
      <c r="G568" s="1">
        <v>35870</v>
      </c>
      <c r="H568">
        <v>2</v>
      </c>
      <c r="I568" t="str">
        <f t="shared" si="26"/>
        <v>USPS</v>
      </c>
      <c r="J568">
        <v>31.89</v>
      </c>
      <c r="K568" t="s">
        <v>28</v>
      </c>
      <c r="L568" t="s">
        <v>477</v>
      </c>
      <c r="M568" t="s">
        <v>478</v>
      </c>
      <c r="O568" t="s">
        <v>479</v>
      </c>
      <c r="P568" t="s">
        <v>94</v>
      </c>
    </row>
    <row r="569" spans="1:16" x14ac:dyDescent="0.25">
      <c r="A569">
        <v>10962</v>
      </c>
      <c r="B569" t="s">
        <v>475</v>
      </c>
      <c r="C569" s="1">
        <v>35873</v>
      </c>
      <c r="D569" s="1" t="str">
        <f t="shared" si="24"/>
        <v>mar</v>
      </c>
      <c r="E569" s="1" t="str">
        <f t="shared" si="25"/>
        <v>1998</v>
      </c>
      <c r="F569" s="1">
        <v>35901</v>
      </c>
      <c r="G569" s="1">
        <v>35877</v>
      </c>
      <c r="H569">
        <v>2</v>
      </c>
      <c r="I569" t="str">
        <f t="shared" si="26"/>
        <v>USPS</v>
      </c>
      <c r="J569">
        <v>275.79000000000002</v>
      </c>
      <c r="K569" t="s">
        <v>28</v>
      </c>
      <c r="L569" t="s">
        <v>477</v>
      </c>
      <c r="M569" t="s">
        <v>478</v>
      </c>
      <c r="O569" t="s">
        <v>479</v>
      </c>
      <c r="P569" t="s">
        <v>94</v>
      </c>
    </row>
    <row r="570" spans="1:16" x14ac:dyDescent="0.25">
      <c r="A570">
        <v>10991</v>
      </c>
      <c r="B570" t="s">
        <v>475</v>
      </c>
      <c r="C570" s="1">
        <v>35886</v>
      </c>
      <c r="D570" s="1" t="str">
        <f t="shared" si="24"/>
        <v>abr</v>
      </c>
      <c r="E570" s="1" t="str">
        <f t="shared" si="25"/>
        <v>1998</v>
      </c>
      <c r="F570" s="1">
        <v>35914</v>
      </c>
      <c r="G570" s="1">
        <v>35892</v>
      </c>
      <c r="H570">
        <v>1</v>
      </c>
      <c r="I570" t="str">
        <f t="shared" si="26"/>
        <v>UPS</v>
      </c>
      <c r="J570">
        <v>38.51</v>
      </c>
      <c r="K570" t="s">
        <v>28</v>
      </c>
      <c r="L570" t="s">
        <v>477</v>
      </c>
      <c r="M570" t="s">
        <v>478</v>
      </c>
      <c r="O570" t="s">
        <v>479</v>
      </c>
      <c r="P570" t="s">
        <v>94</v>
      </c>
    </row>
    <row r="571" spans="1:16" x14ac:dyDescent="0.25">
      <c r="A571">
        <v>10996</v>
      </c>
      <c r="B571" t="s">
        <v>475</v>
      </c>
      <c r="C571" s="1">
        <v>35887</v>
      </c>
      <c r="D571" s="1" t="str">
        <f t="shared" si="24"/>
        <v>abr</v>
      </c>
      <c r="E571" s="1" t="str">
        <f t="shared" si="25"/>
        <v>1998</v>
      </c>
      <c r="F571" s="1">
        <v>35915</v>
      </c>
      <c r="G571" s="1">
        <v>35895</v>
      </c>
      <c r="H571">
        <v>2</v>
      </c>
      <c r="I571" t="str">
        <f t="shared" si="26"/>
        <v>USPS</v>
      </c>
      <c r="J571">
        <v>1.1200000000000001</v>
      </c>
      <c r="K571" t="s">
        <v>28</v>
      </c>
      <c r="L571" t="s">
        <v>477</v>
      </c>
      <c r="M571" t="s">
        <v>478</v>
      </c>
      <c r="O571" t="s">
        <v>479</v>
      </c>
      <c r="P571" t="s">
        <v>94</v>
      </c>
    </row>
    <row r="572" spans="1:16" x14ac:dyDescent="0.25">
      <c r="A572">
        <v>11021</v>
      </c>
      <c r="B572" t="s">
        <v>475</v>
      </c>
      <c r="C572" s="1">
        <v>35899</v>
      </c>
      <c r="D572" s="1" t="str">
        <f t="shared" si="24"/>
        <v>abr</v>
      </c>
      <c r="E572" s="1" t="str">
        <f t="shared" si="25"/>
        <v>1998</v>
      </c>
      <c r="F572" s="1">
        <v>35927</v>
      </c>
      <c r="G572" s="1">
        <v>35906</v>
      </c>
      <c r="H572">
        <v>1</v>
      </c>
      <c r="I572" t="str">
        <f t="shared" si="26"/>
        <v>UPS</v>
      </c>
      <c r="J572">
        <v>297.18</v>
      </c>
      <c r="K572" t="s">
        <v>28</v>
      </c>
      <c r="L572" t="s">
        <v>477</v>
      </c>
      <c r="M572" t="s">
        <v>478</v>
      </c>
      <c r="O572" t="s">
        <v>479</v>
      </c>
      <c r="P572" t="s">
        <v>94</v>
      </c>
    </row>
    <row r="573" spans="1:16" x14ac:dyDescent="0.25">
      <c r="A573">
        <v>10448</v>
      </c>
      <c r="B573" t="s">
        <v>481</v>
      </c>
      <c r="C573" s="1">
        <v>35478</v>
      </c>
      <c r="D573" s="1" t="str">
        <f t="shared" si="24"/>
        <v>fev</v>
      </c>
      <c r="E573" s="1" t="str">
        <f t="shared" si="25"/>
        <v>1997</v>
      </c>
      <c r="F573" s="1">
        <v>35506</v>
      </c>
      <c r="G573" s="1">
        <v>35485</v>
      </c>
      <c r="H573">
        <v>2</v>
      </c>
      <c r="I573" t="str">
        <f t="shared" si="26"/>
        <v>USPS</v>
      </c>
      <c r="J573">
        <v>38.82</v>
      </c>
      <c r="K573" t="s">
        <v>27</v>
      </c>
      <c r="L573" t="s">
        <v>483</v>
      </c>
      <c r="M573" t="s">
        <v>167</v>
      </c>
      <c r="O573" t="s">
        <v>168</v>
      </c>
      <c r="P573" t="s">
        <v>169</v>
      </c>
    </row>
    <row r="574" spans="1:16" x14ac:dyDescent="0.25">
      <c r="A574">
        <v>10716</v>
      </c>
      <c r="B574" t="s">
        <v>481</v>
      </c>
      <c r="C574" s="1">
        <v>35727</v>
      </c>
      <c r="D574" s="1" t="str">
        <f t="shared" si="24"/>
        <v>out</v>
      </c>
      <c r="E574" s="1" t="str">
        <f t="shared" si="25"/>
        <v>1997</v>
      </c>
      <c r="F574" s="1">
        <v>35755</v>
      </c>
      <c r="G574" s="1">
        <v>35730</v>
      </c>
      <c r="H574">
        <v>2</v>
      </c>
      <c r="I574" t="str">
        <f t="shared" si="26"/>
        <v>USPS</v>
      </c>
      <c r="J574">
        <v>22.57</v>
      </c>
      <c r="K574" t="s">
        <v>27</v>
      </c>
      <c r="L574" t="s">
        <v>483</v>
      </c>
      <c r="M574" t="s">
        <v>167</v>
      </c>
      <c r="O574" t="s">
        <v>168</v>
      </c>
      <c r="P574" t="s">
        <v>169</v>
      </c>
    </row>
    <row r="575" spans="1:16" x14ac:dyDescent="0.25">
      <c r="A575">
        <v>10828</v>
      </c>
      <c r="B575" t="s">
        <v>481</v>
      </c>
      <c r="C575" s="1">
        <v>35808</v>
      </c>
      <c r="D575" s="1" t="str">
        <f t="shared" si="24"/>
        <v>jan</v>
      </c>
      <c r="E575" s="1" t="str">
        <f t="shared" si="25"/>
        <v>1998</v>
      </c>
      <c r="F575" s="1">
        <v>35822</v>
      </c>
      <c r="G575" s="1">
        <v>35830</v>
      </c>
      <c r="H575">
        <v>1</v>
      </c>
      <c r="I575" t="str">
        <f t="shared" si="26"/>
        <v>UPS</v>
      </c>
      <c r="J575">
        <v>90.85</v>
      </c>
      <c r="K575" t="s">
        <v>27</v>
      </c>
      <c r="L575" t="s">
        <v>483</v>
      </c>
      <c r="M575" t="s">
        <v>167</v>
      </c>
      <c r="O575" t="s">
        <v>168</v>
      </c>
      <c r="P575" t="s">
        <v>169</v>
      </c>
    </row>
    <row r="576" spans="1:16" x14ac:dyDescent="0.25">
      <c r="A576">
        <v>10916</v>
      </c>
      <c r="B576" t="s">
        <v>481</v>
      </c>
      <c r="C576" s="1">
        <v>35853</v>
      </c>
      <c r="D576" s="1" t="str">
        <f t="shared" si="24"/>
        <v>fev</v>
      </c>
      <c r="E576" s="1" t="str">
        <f t="shared" si="25"/>
        <v>1998</v>
      </c>
      <c r="F576" s="1">
        <v>35881</v>
      </c>
      <c r="G576" s="1">
        <v>35863</v>
      </c>
      <c r="H576">
        <v>2</v>
      </c>
      <c r="I576" t="str">
        <f t="shared" si="26"/>
        <v>USPS</v>
      </c>
      <c r="J576">
        <v>63.77</v>
      </c>
      <c r="K576" t="s">
        <v>27</v>
      </c>
      <c r="L576" t="s">
        <v>483</v>
      </c>
      <c r="M576" t="s">
        <v>167</v>
      </c>
      <c r="O576" t="s">
        <v>168</v>
      </c>
      <c r="P576" t="s">
        <v>169</v>
      </c>
    </row>
    <row r="577" spans="1:16" x14ac:dyDescent="0.25">
      <c r="A577">
        <v>11019</v>
      </c>
      <c r="B577" t="s">
        <v>481</v>
      </c>
      <c r="C577" s="1">
        <v>35898</v>
      </c>
      <c r="D577" s="1" t="str">
        <f t="shared" si="24"/>
        <v>abr</v>
      </c>
      <c r="E577" s="1" t="str">
        <f t="shared" si="25"/>
        <v>1998</v>
      </c>
      <c r="F577" s="1">
        <v>35926</v>
      </c>
      <c r="G577" s="1"/>
      <c r="H577">
        <v>3</v>
      </c>
      <c r="I577" t="str">
        <f t="shared" si="26"/>
        <v>DHL</v>
      </c>
      <c r="J577">
        <v>3.17</v>
      </c>
      <c r="K577" t="s">
        <v>27</v>
      </c>
      <c r="L577" t="s">
        <v>483</v>
      </c>
      <c r="M577" t="s">
        <v>167</v>
      </c>
      <c r="O577" t="s">
        <v>168</v>
      </c>
      <c r="P577" t="s">
        <v>169</v>
      </c>
    </row>
    <row r="578" spans="1:16" x14ac:dyDescent="0.25">
      <c r="A578">
        <v>10262</v>
      </c>
      <c r="B578" t="s">
        <v>485</v>
      </c>
      <c r="C578" s="1">
        <v>35268</v>
      </c>
      <c r="D578" s="1" t="str">
        <f t="shared" si="24"/>
        <v>jul</v>
      </c>
      <c r="E578" s="1" t="str">
        <f t="shared" si="25"/>
        <v>1996</v>
      </c>
      <c r="F578" s="1">
        <v>35296</v>
      </c>
      <c r="G578" s="1">
        <v>35271</v>
      </c>
      <c r="H578">
        <v>3</v>
      </c>
      <c r="I578" t="str">
        <f t="shared" si="26"/>
        <v>DHL</v>
      </c>
      <c r="J578">
        <v>48.29</v>
      </c>
      <c r="K578" t="s">
        <v>26</v>
      </c>
      <c r="L578" t="s">
        <v>488</v>
      </c>
      <c r="M578" t="s">
        <v>489</v>
      </c>
      <c r="N578" t="s">
        <v>490</v>
      </c>
      <c r="O578" t="s">
        <v>491</v>
      </c>
      <c r="P578" t="s">
        <v>290</v>
      </c>
    </row>
    <row r="579" spans="1:16" x14ac:dyDescent="0.25">
      <c r="A579">
        <v>10272</v>
      </c>
      <c r="B579" t="s">
        <v>485</v>
      </c>
      <c r="C579" s="1">
        <v>35279</v>
      </c>
      <c r="D579" s="1" t="str">
        <f t="shared" ref="D579:D642" si="27">TEXT(C579,"mmm")</f>
        <v>ago</v>
      </c>
      <c r="E579" s="1" t="str">
        <f t="shared" ref="E579:E642" si="28">TEXT(C579,"aaa")</f>
        <v>1996</v>
      </c>
      <c r="F579" s="1">
        <v>35307</v>
      </c>
      <c r="G579" s="1">
        <v>35283</v>
      </c>
      <c r="H579">
        <v>2</v>
      </c>
      <c r="I579" t="str">
        <f t="shared" ref="I579:I642" si="29">CHOOSE(H579,"UPS","USPS","DHL")</f>
        <v>USPS</v>
      </c>
      <c r="J579">
        <v>98.03</v>
      </c>
      <c r="K579" t="s">
        <v>26</v>
      </c>
      <c r="L579" t="s">
        <v>488</v>
      </c>
      <c r="M579" t="s">
        <v>489</v>
      </c>
      <c r="N579" t="s">
        <v>490</v>
      </c>
      <c r="O579" t="s">
        <v>491</v>
      </c>
      <c r="P579" t="s">
        <v>290</v>
      </c>
    </row>
    <row r="580" spans="1:16" x14ac:dyDescent="0.25">
      <c r="A580">
        <v>10294</v>
      </c>
      <c r="B580" t="s">
        <v>485</v>
      </c>
      <c r="C580" s="1">
        <v>35307</v>
      </c>
      <c r="D580" s="1" t="str">
        <f t="shared" si="27"/>
        <v>ago</v>
      </c>
      <c r="E580" s="1" t="str">
        <f t="shared" si="28"/>
        <v>1996</v>
      </c>
      <c r="F580" s="1">
        <v>35335</v>
      </c>
      <c r="G580" s="1">
        <v>35313</v>
      </c>
      <c r="H580">
        <v>2</v>
      </c>
      <c r="I580" t="str">
        <f t="shared" si="29"/>
        <v>USPS</v>
      </c>
      <c r="J580">
        <v>147.26</v>
      </c>
      <c r="K580" t="s">
        <v>26</v>
      </c>
      <c r="L580" t="s">
        <v>488</v>
      </c>
      <c r="M580" t="s">
        <v>489</v>
      </c>
      <c r="N580" t="s">
        <v>490</v>
      </c>
      <c r="O580" t="s">
        <v>491</v>
      </c>
      <c r="P580" t="s">
        <v>290</v>
      </c>
    </row>
    <row r="581" spans="1:16" x14ac:dyDescent="0.25">
      <c r="A581">
        <v>10314</v>
      </c>
      <c r="B581" t="s">
        <v>485</v>
      </c>
      <c r="C581" s="1">
        <v>35333</v>
      </c>
      <c r="D581" s="1" t="str">
        <f t="shared" si="27"/>
        <v>set</v>
      </c>
      <c r="E581" s="1" t="str">
        <f t="shared" si="28"/>
        <v>1996</v>
      </c>
      <c r="F581" s="1">
        <v>35361</v>
      </c>
      <c r="G581" s="1">
        <v>35342</v>
      </c>
      <c r="H581">
        <v>2</v>
      </c>
      <c r="I581" t="str">
        <f t="shared" si="29"/>
        <v>USPS</v>
      </c>
      <c r="J581">
        <v>74.16</v>
      </c>
      <c r="K581" t="s">
        <v>26</v>
      </c>
      <c r="L581" t="s">
        <v>488</v>
      </c>
      <c r="M581" t="s">
        <v>489</v>
      </c>
      <c r="N581" t="s">
        <v>490</v>
      </c>
      <c r="O581" t="s">
        <v>491</v>
      </c>
      <c r="P581" t="s">
        <v>290</v>
      </c>
    </row>
    <row r="582" spans="1:16" x14ac:dyDescent="0.25">
      <c r="A582">
        <v>10316</v>
      </c>
      <c r="B582" t="s">
        <v>485</v>
      </c>
      <c r="C582" s="1">
        <v>35335</v>
      </c>
      <c r="D582" s="1" t="str">
        <f t="shared" si="27"/>
        <v>set</v>
      </c>
      <c r="E582" s="1" t="str">
        <f t="shared" si="28"/>
        <v>1996</v>
      </c>
      <c r="F582" s="1">
        <v>35363</v>
      </c>
      <c r="G582" s="1">
        <v>35346</v>
      </c>
      <c r="H582">
        <v>3</v>
      </c>
      <c r="I582" t="str">
        <f t="shared" si="29"/>
        <v>DHL</v>
      </c>
      <c r="J582">
        <v>150.15</v>
      </c>
      <c r="K582" t="s">
        <v>26</v>
      </c>
      <c r="L582" t="s">
        <v>488</v>
      </c>
      <c r="M582" t="s">
        <v>489</v>
      </c>
      <c r="N582" t="s">
        <v>490</v>
      </c>
      <c r="O582" t="s">
        <v>491</v>
      </c>
      <c r="P582" t="s">
        <v>290</v>
      </c>
    </row>
    <row r="583" spans="1:16" x14ac:dyDescent="0.25">
      <c r="A583">
        <v>10346</v>
      </c>
      <c r="B583" t="s">
        <v>485</v>
      </c>
      <c r="C583" s="1">
        <v>35374</v>
      </c>
      <c r="D583" s="1" t="str">
        <f t="shared" si="27"/>
        <v>nov</v>
      </c>
      <c r="E583" s="1" t="str">
        <f t="shared" si="28"/>
        <v>1996</v>
      </c>
      <c r="F583" s="1">
        <v>35416</v>
      </c>
      <c r="G583" s="1">
        <v>35377</v>
      </c>
      <c r="H583">
        <v>3</v>
      </c>
      <c r="I583" t="str">
        <f t="shared" si="29"/>
        <v>DHL</v>
      </c>
      <c r="J583">
        <v>142.08000000000001</v>
      </c>
      <c r="K583" t="s">
        <v>26</v>
      </c>
      <c r="L583" t="s">
        <v>488</v>
      </c>
      <c r="M583" t="s">
        <v>489</v>
      </c>
      <c r="N583" t="s">
        <v>490</v>
      </c>
      <c r="O583" t="s">
        <v>491</v>
      </c>
      <c r="P583" t="s">
        <v>290</v>
      </c>
    </row>
    <row r="584" spans="1:16" x14ac:dyDescent="0.25">
      <c r="A584">
        <v>10401</v>
      </c>
      <c r="B584" t="s">
        <v>485</v>
      </c>
      <c r="C584" s="1">
        <v>35431</v>
      </c>
      <c r="D584" s="1" t="str">
        <f t="shared" si="27"/>
        <v>jan</v>
      </c>
      <c r="E584" s="1" t="str">
        <f t="shared" si="28"/>
        <v>1997</v>
      </c>
      <c r="F584" s="1">
        <v>35459</v>
      </c>
      <c r="G584" s="1">
        <v>35440</v>
      </c>
      <c r="H584">
        <v>1</v>
      </c>
      <c r="I584" t="str">
        <f t="shared" si="29"/>
        <v>UPS</v>
      </c>
      <c r="J584">
        <v>12.51</v>
      </c>
      <c r="K584" t="s">
        <v>26</v>
      </c>
      <c r="L584" t="s">
        <v>488</v>
      </c>
      <c r="M584" t="s">
        <v>489</v>
      </c>
      <c r="N584" t="s">
        <v>490</v>
      </c>
      <c r="O584" t="s">
        <v>491</v>
      </c>
      <c r="P584" t="s">
        <v>290</v>
      </c>
    </row>
    <row r="585" spans="1:16" x14ac:dyDescent="0.25">
      <c r="A585">
        <v>10479</v>
      </c>
      <c r="B585" t="s">
        <v>485</v>
      </c>
      <c r="C585" s="1">
        <v>35508</v>
      </c>
      <c r="D585" s="1" t="str">
        <f t="shared" si="27"/>
        <v>mar</v>
      </c>
      <c r="E585" s="1" t="str">
        <f t="shared" si="28"/>
        <v>1997</v>
      </c>
      <c r="F585" s="1">
        <v>35536</v>
      </c>
      <c r="G585" s="1">
        <v>35510</v>
      </c>
      <c r="H585">
        <v>3</v>
      </c>
      <c r="I585" t="str">
        <f t="shared" si="29"/>
        <v>DHL</v>
      </c>
      <c r="J585">
        <v>708.95</v>
      </c>
      <c r="K585" t="s">
        <v>26</v>
      </c>
      <c r="L585" t="s">
        <v>488</v>
      </c>
      <c r="M585" t="s">
        <v>489</v>
      </c>
      <c r="N585" t="s">
        <v>490</v>
      </c>
      <c r="O585" t="s">
        <v>491</v>
      </c>
      <c r="P585" t="s">
        <v>290</v>
      </c>
    </row>
    <row r="586" spans="1:16" x14ac:dyDescent="0.25">
      <c r="A586">
        <v>10564</v>
      </c>
      <c r="B586" t="s">
        <v>485</v>
      </c>
      <c r="C586" s="1">
        <v>35591</v>
      </c>
      <c r="D586" s="1" t="str">
        <f t="shared" si="27"/>
        <v>jun</v>
      </c>
      <c r="E586" s="1" t="str">
        <f t="shared" si="28"/>
        <v>1997</v>
      </c>
      <c r="F586" s="1">
        <v>35619</v>
      </c>
      <c r="G586" s="1">
        <v>35597</v>
      </c>
      <c r="H586">
        <v>3</v>
      </c>
      <c r="I586" t="str">
        <f t="shared" si="29"/>
        <v>DHL</v>
      </c>
      <c r="J586">
        <v>13.75</v>
      </c>
      <c r="K586" t="s">
        <v>26</v>
      </c>
      <c r="L586" t="s">
        <v>488</v>
      </c>
      <c r="M586" t="s">
        <v>489</v>
      </c>
      <c r="N586" t="s">
        <v>490</v>
      </c>
      <c r="O586" t="s">
        <v>491</v>
      </c>
      <c r="P586" t="s">
        <v>290</v>
      </c>
    </row>
    <row r="587" spans="1:16" x14ac:dyDescent="0.25">
      <c r="A587">
        <v>10569</v>
      </c>
      <c r="B587" t="s">
        <v>485</v>
      </c>
      <c r="C587" s="1">
        <v>35597</v>
      </c>
      <c r="D587" s="1" t="str">
        <f t="shared" si="27"/>
        <v>jun</v>
      </c>
      <c r="E587" s="1" t="str">
        <f t="shared" si="28"/>
        <v>1997</v>
      </c>
      <c r="F587" s="1">
        <v>35625</v>
      </c>
      <c r="G587" s="1">
        <v>35622</v>
      </c>
      <c r="H587">
        <v>1</v>
      </c>
      <c r="I587" t="str">
        <f t="shared" si="29"/>
        <v>UPS</v>
      </c>
      <c r="J587">
        <v>58.98</v>
      </c>
      <c r="K587" t="s">
        <v>26</v>
      </c>
      <c r="L587" t="s">
        <v>488</v>
      </c>
      <c r="M587" t="s">
        <v>489</v>
      </c>
      <c r="N587" t="s">
        <v>490</v>
      </c>
      <c r="O587" t="s">
        <v>491</v>
      </c>
      <c r="P587" t="s">
        <v>290</v>
      </c>
    </row>
    <row r="588" spans="1:16" x14ac:dyDescent="0.25">
      <c r="A588">
        <v>10598</v>
      </c>
      <c r="B588" t="s">
        <v>485</v>
      </c>
      <c r="C588" s="1">
        <v>35625</v>
      </c>
      <c r="D588" s="1" t="str">
        <f t="shared" si="27"/>
        <v>jul</v>
      </c>
      <c r="E588" s="1" t="str">
        <f t="shared" si="28"/>
        <v>1997</v>
      </c>
      <c r="F588" s="1">
        <v>35653</v>
      </c>
      <c r="G588" s="1">
        <v>35629</v>
      </c>
      <c r="H588">
        <v>3</v>
      </c>
      <c r="I588" t="str">
        <f t="shared" si="29"/>
        <v>DHL</v>
      </c>
      <c r="J588">
        <v>44.42</v>
      </c>
      <c r="K588" t="s">
        <v>26</v>
      </c>
      <c r="L588" t="s">
        <v>488</v>
      </c>
      <c r="M588" t="s">
        <v>489</v>
      </c>
      <c r="N588" t="s">
        <v>490</v>
      </c>
      <c r="O588" t="s">
        <v>491</v>
      </c>
      <c r="P588" t="s">
        <v>290</v>
      </c>
    </row>
    <row r="589" spans="1:16" x14ac:dyDescent="0.25">
      <c r="A589">
        <v>10761</v>
      </c>
      <c r="B589" t="s">
        <v>485</v>
      </c>
      <c r="C589" s="1">
        <v>35766</v>
      </c>
      <c r="D589" s="1" t="str">
        <f t="shared" si="27"/>
        <v>dez</v>
      </c>
      <c r="E589" s="1" t="str">
        <f t="shared" si="28"/>
        <v>1997</v>
      </c>
      <c r="F589" s="1">
        <v>35794</v>
      </c>
      <c r="G589" s="1">
        <v>35772</v>
      </c>
      <c r="H589">
        <v>2</v>
      </c>
      <c r="I589" t="str">
        <f t="shared" si="29"/>
        <v>USPS</v>
      </c>
      <c r="J589">
        <v>18.66</v>
      </c>
      <c r="K589" t="s">
        <v>26</v>
      </c>
      <c r="L589" t="s">
        <v>488</v>
      </c>
      <c r="M589" t="s">
        <v>489</v>
      </c>
      <c r="N589" t="s">
        <v>490</v>
      </c>
      <c r="O589" t="s">
        <v>491</v>
      </c>
      <c r="P589" t="s">
        <v>290</v>
      </c>
    </row>
    <row r="590" spans="1:16" x14ac:dyDescent="0.25">
      <c r="A590">
        <v>10820</v>
      </c>
      <c r="B590" t="s">
        <v>485</v>
      </c>
      <c r="C590" s="1">
        <v>35802</v>
      </c>
      <c r="D590" s="1" t="str">
        <f t="shared" si="27"/>
        <v>jan</v>
      </c>
      <c r="E590" s="1" t="str">
        <f t="shared" si="28"/>
        <v>1998</v>
      </c>
      <c r="F590" s="1">
        <v>35830</v>
      </c>
      <c r="G590" s="1">
        <v>35808</v>
      </c>
      <c r="H590">
        <v>2</v>
      </c>
      <c r="I590" t="str">
        <f t="shared" si="29"/>
        <v>USPS</v>
      </c>
      <c r="J590">
        <v>37.520000000000003</v>
      </c>
      <c r="K590" t="s">
        <v>26</v>
      </c>
      <c r="L590" t="s">
        <v>488</v>
      </c>
      <c r="M590" t="s">
        <v>489</v>
      </c>
      <c r="N590" t="s">
        <v>490</v>
      </c>
      <c r="O590" t="s">
        <v>491</v>
      </c>
      <c r="P590" t="s">
        <v>290</v>
      </c>
    </row>
    <row r="591" spans="1:16" x14ac:dyDescent="0.25">
      <c r="A591">
        <v>10852</v>
      </c>
      <c r="B591" t="s">
        <v>485</v>
      </c>
      <c r="C591" s="1">
        <v>35821</v>
      </c>
      <c r="D591" s="1" t="str">
        <f t="shared" si="27"/>
        <v>jan</v>
      </c>
      <c r="E591" s="1" t="str">
        <f t="shared" si="28"/>
        <v>1998</v>
      </c>
      <c r="F591" s="1">
        <v>35835</v>
      </c>
      <c r="G591" s="1">
        <v>35825</v>
      </c>
      <c r="H591">
        <v>1</v>
      </c>
      <c r="I591" t="str">
        <f t="shared" si="29"/>
        <v>UPS</v>
      </c>
      <c r="J591">
        <v>174.05</v>
      </c>
      <c r="K591" t="s">
        <v>26</v>
      </c>
      <c r="L591" t="s">
        <v>488</v>
      </c>
      <c r="M591" t="s">
        <v>489</v>
      </c>
      <c r="N591" t="s">
        <v>490</v>
      </c>
      <c r="O591" t="s">
        <v>491</v>
      </c>
      <c r="P591" t="s">
        <v>290</v>
      </c>
    </row>
    <row r="592" spans="1:16" x14ac:dyDescent="0.25">
      <c r="A592">
        <v>10889</v>
      </c>
      <c r="B592" t="s">
        <v>485</v>
      </c>
      <c r="C592" s="1">
        <v>35842</v>
      </c>
      <c r="D592" s="1" t="str">
        <f t="shared" si="27"/>
        <v>fev</v>
      </c>
      <c r="E592" s="1" t="str">
        <f t="shared" si="28"/>
        <v>1998</v>
      </c>
      <c r="F592" s="1">
        <v>35870</v>
      </c>
      <c r="G592" s="1">
        <v>35849</v>
      </c>
      <c r="H592">
        <v>3</v>
      </c>
      <c r="I592" t="str">
        <f t="shared" si="29"/>
        <v>DHL</v>
      </c>
      <c r="J592">
        <v>280.61</v>
      </c>
      <c r="K592" t="s">
        <v>26</v>
      </c>
      <c r="L592" t="s">
        <v>488</v>
      </c>
      <c r="M592" t="s">
        <v>489</v>
      </c>
      <c r="N592" t="s">
        <v>490</v>
      </c>
      <c r="O592" t="s">
        <v>491</v>
      </c>
      <c r="P592" t="s">
        <v>290</v>
      </c>
    </row>
    <row r="593" spans="1:16" x14ac:dyDescent="0.25">
      <c r="A593">
        <v>10988</v>
      </c>
      <c r="B593" t="s">
        <v>485</v>
      </c>
      <c r="C593" s="1">
        <v>35885</v>
      </c>
      <c r="D593" s="1" t="str">
        <f t="shared" si="27"/>
        <v>mar</v>
      </c>
      <c r="E593" s="1" t="str">
        <f t="shared" si="28"/>
        <v>1998</v>
      </c>
      <c r="F593" s="1">
        <v>35913</v>
      </c>
      <c r="G593" s="1">
        <v>35895</v>
      </c>
      <c r="H593">
        <v>2</v>
      </c>
      <c r="I593" t="str">
        <f t="shared" si="29"/>
        <v>USPS</v>
      </c>
      <c r="J593">
        <v>61.14</v>
      </c>
      <c r="K593" t="s">
        <v>26</v>
      </c>
      <c r="L593" t="s">
        <v>488</v>
      </c>
      <c r="M593" t="s">
        <v>489</v>
      </c>
      <c r="N593" t="s">
        <v>490</v>
      </c>
      <c r="O593" t="s">
        <v>491</v>
      </c>
      <c r="P593" t="s">
        <v>290</v>
      </c>
    </row>
    <row r="594" spans="1:16" x14ac:dyDescent="0.25">
      <c r="A594">
        <v>11000</v>
      </c>
      <c r="B594" t="s">
        <v>485</v>
      </c>
      <c r="C594" s="1">
        <v>35891</v>
      </c>
      <c r="D594" s="1" t="str">
        <f t="shared" si="27"/>
        <v>abr</v>
      </c>
      <c r="E594" s="1" t="str">
        <f t="shared" si="28"/>
        <v>1998</v>
      </c>
      <c r="F594" s="1">
        <v>35919</v>
      </c>
      <c r="G594" s="1">
        <v>35899</v>
      </c>
      <c r="H594">
        <v>3</v>
      </c>
      <c r="I594" t="str">
        <f t="shared" si="29"/>
        <v>DHL</v>
      </c>
      <c r="J594">
        <v>55.12</v>
      </c>
      <c r="K594" t="s">
        <v>26</v>
      </c>
      <c r="L594" t="s">
        <v>488</v>
      </c>
      <c r="M594" t="s">
        <v>489</v>
      </c>
      <c r="N594" t="s">
        <v>490</v>
      </c>
      <c r="O594" t="s">
        <v>491</v>
      </c>
      <c r="P594" t="s">
        <v>290</v>
      </c>
    </row>
    <row r="595" spans="1:16" x14ac:dyDescent="0.25">
      <c r="A595">
        <v>11077</v>
      </c>
      <c r="B595" t="s">
        <v>485</v>
      </c>
      <c r="C595" s="1">
        <v>35921</v>
      </c>
      <c r="D595" s="1" t="str">
        <f t="shared" si="27"/>
        <v>mai</v>
      </c>
      <c r="E595" s="1" t="str">
        <f t="shared" si="28"/>
        <v>1998</v>
      </c>
      <c r="F595" s="1">
        <v>35949</v>
      </c>
      <c r="G595" s="1"/>
      <c r="H595">
        <v>2</v>
      </c>
      <c r="I595" t="str">
        <f t="shared" si="29"/>
        <v>USPS</v>
      </c>
      <c r="J595">
        <v>8.5299999999999994</v>
      </c>
      <c r="K595" t="s">
        <v>26</v>
      </c>
      <c r="L595" t="s">
        <v>488</v>
      </c>
      <c r="M595" t="s">
        <v>489</v>
      </c>
      <c r="N595" t="s">
        <v>490</v>
      </c>
      <c r="O595" t="s">
        <v>491</v>
      </c>
      <c r="P595" t="s">
        <v>290</v>
      </c>
    </row>
    <row r="596" spans="1:16" x14ac:dyDescent="0.25">
      <c r="A596">
        <v>10288</v>
      </c>
      <c r="B596" t="s">
        <v>493</v>
      </c>
      <c r="C596" s="1">
        <v>35300</v>
      </c>
      <c r="D596" s="1" t="str">
        <f t="shared" si="27"/>
        <v>ago</v>
      </c>
      <c r="E596" s="1" t="str">
        <f t="shared" si="28"/>
        <v>1996</v>
      </c>
      <c r="F596" s="1">
        <v>35328</v>
      </c>
      <c r="G596" s="1">
        <v>35311</v>
      </c>
      <c r="H596">
        <v>1</v>
      </c>
      <c r="I596" t="str">
        <f t="shared" si="29"/>
        <v>UPS</v>
      </c>
      <c r="J596">
        <v>7.45</v>
      </c>
      <c r="K596" t="s">
        <v>25</v>
      </c>
      <c r="L596" t="s">
        <v>495</v>
      </c>
      <c r="M596" t="s">
        <v>496</v>
      </c>
      <c r="O596" t="s">
        <v>497</v>
      </c>
      <c r="P596" t="s">
        <v>258</v>
      </c>
    </row>
    <row r="597" spans="1:16" x14ac:dyDescent="0.25">
      <c r="A597">
        <v>10428</v>
      </c>
      <c r="B597" t="s">
        <v>493</v>
      </c>
      <c r="C597" s="1">
        <v>35458</v>
      </c>
      <c r="D597" s="1" t="str">
        <f t="shared" si="27"/>
        <v>jan</v>
      </c>
      <c r="E597" s="1" t="str">
        <f t="shared" si="28"/>
        <v>1997</v>
      </c>
      <c r="F597" s="1">
        <v>35486</v>
      </c>
      <c r="G597" s="1">
        <v>35465</v>
      </c>
      <c r="H597">
        <v>1</v>
      </c>
      <c r="I597" t="str">
        <f t="shared" si="29"/>
        <v>UPS</v>
      </c>
      <c r="J597">
        <v>11.09</v>
      </c>
      <c r="K597" t="s">
        <v>25</v>
      </c>
      <c r="L597" t="s">
        <v>495</v>
      </c>
      <c r="M597" t="s">
        <v>496</v>
      </c>
      <c r="O597" t="s">
        <v>497</v>
      </c>
      <c r="P597" t="s">
        <v>258</v>
      </c>
    </row>
    <row r="598" spans="1:16" x14ac:dyDescent="0.25">
      <c r="A598">
        <v>10443</v>
      </c>
      <c r="B598" t="s">
        <v>493</v>
      </c>
      <c r="C598" s="1">
        <v>35473</v>
      </c>
      <c r="D598" s="1" t="str">
        <f t="shared" si="27"/>
        <v>fev</v>
      </c>
      <c r="E598" s="1" t="str">
        <f t="shared" si="28"/>
        <v>1997</v>
      </c>
      <c r="F598" s="1">
        <v>35501</v>
      </c>
      <c r="G598" s="1">
        <v>35475</v>
      </c>
      <c r="H598">
        <v>1</v>
      </c>
      <c r="I598" t="str">
        <f t="shared" si="29"/>
        <v>UPS</v>
      </c>
      <c r="J598">
        <v>13.95</v>
      </c>
      <c r="K598" t="s">
        <v>25</v>
      </c>
      <c r="L598" t="s">
        <v>495</v>
      </c>
      <c r="M598" t="s">
        <v>496</v>
      </c>
      <c r="O598" t="s">
        <v>497</v>
      </c>
      <c r="P598" t="s">
        <v>258</v>
      </c>
    </row>
    <row r="599" spans="1:16" x14ac:dyDescent="0.25">
      <c r="A599">
        <v>10562</v>
      </c>
      <c r="B599" t="s">
        <v>493</v>
      </c>
      <c r="C599" s="1">
        <v>35590</v>
      </c>
      <c r="D599" s="1" t="str">
        <f t="shared" si="27"/>
        <v>jun</v>
      </c>
      <c r="E599" s="1" t="str">
        <f t="shared" si="28"/>
        <v>1997</v>
      </c>
      <c r="F599" s="1">
        <v>35618</v>
      </c>
      <c r="G599" s="1">
        <v>35593</v>
      </c>
      <c r="H599">
        <v>1</v>
      </c>
      <c r="I599" t="str">
        <f t="shared" si="29"/>
        <v>UPS</v>
      </c>
      <c r="J599">
        <v>22.95</v>
      </c>
      <c r="K599" t="s">
        <v>25</v>
      </c>
      <c r="L599" t="s">
        <v>495</v>
      </c>
      <c r="M599" t="s">
        <v>496</v>
      </c>
      <c r="O599" t="s">
        <v>497</v>
      </c>
      <c r="P599" t="s">
        <v>258</v>
      </c>
    </row>
    <row r="600" spans="1:16" x14ac:dyDescent="0.25">
      <c r="A600">
        <v>10586</v>
      </c>
      <c r="B600" t="s">
        <v>493</v>
      </c>
      <c r="C600" s="1">
        <v>35613</v>
      </c>
      <c r="D600" s="1" t="str">
        <f t="shared" si="27"/>
        <v>jul</v>
      </c>
      <c r="E600" s="1" t="str">
        <f t="shared" si="28"/>
        <v>1997</v>
      </c>
      <c r="F600" s="1">
        <v>35641</v>
      </c>
      <c r="G600" s="1">
        <v>35620</v>
      </c>
      <c r="H600">
        <v>1</v>
      </c>
      <c r="I600" t="str">
        <f t="shared" si="29"/>
        <v>UPS</v>
      </c>
      <c r="J600">
        <v>0.48</v>
      </c>
      <c r="K600" t="s">
        <v>25</v>
      </c>
      <c r="L600" t="s">
        <v>495</v>
      </c>
      <c r="M600" t="s">
        <v>496</v>
      </c>
      <c r="O600" t="s">
        <v>497</v>
      </c>
      <c r="P600" t="s">
        <v>258</v>
      </c>
    </row>
    <row r="601" spans="1:16" x14ac:dyDescent="0.25">
      <c r="A601">
        <v>10655</v>
      </c>
      <c r="B601" t="s">
        <v>493</v>
      </c>
      <c r="C601" s="1">
        <v>35676</v>
      </c>
      <c r="D601" s="1" t="str">
        <f t="shared" si="27"/>
        <v>set</v>
      </c>
      <c r="E601" s="1" t="str">
        <f t="shared" si="28"/>
        <v>1997</v>
      </c>
      <c r="F601" s="1">
        <v>35704</v>
      </c>
      <c r="G601" s="1">
        <v>35684</v>
      </c>
      <c r="H601">
        <v>2</v>
      </c>
      <c r="I601" t="str">
        <f t="shared" si="29"/>
        <v>USPS</v>
      </c>
      <c r="J601">
        <v>4.41</v>
      </c>
      <c r="K601" t="s">
        <v>25</v>
      </c>
      <c r="L601" t="s">
        <v>495</v>
      </c>
      <c r="M601" t="s">
        <v>496</v>
      </c>
      <c r="O601" t="s">
        <v>497</v>
      </c>
      <c r="P601" t="s">
        <v>258</v>
      </c>
    </row>
    <row r="602" spans="1:16" x14ac:dyDescent="0.25">
      <c r="A602">
        <v>10727</v>
      </c>
      <c r="B602" t="s">
        <v>493</v>
      </c>
      <c r="C602" s="1">
        <v>35737</v>
      </c>
      <c r="D602" s="1" t="str">
        <f t="shared" si="27"/>
        <v>nov</v>
      </c>
      <c r="E602" s="1" t="str">
        <f t="shared" si="28"/>
        <v>1997</v>
      </c>
      <c r="F602" s="1">
        <v>35765</v>
      </c>
      <c r="G602" s="1">
        <v>35769</v>
      </c>
      <c r="H602">
        <v>1</v>
      </c>
      <c r="I602" t="str">
        <f t="shared" si="29"/>
        <v>UPS</v>
      </c>
      <c r="J602">
        <v>89.9</v>
      </c>
      <c r="K602" t="s">
        <v>25</v>
      </c>
      <c r="L602" t="s">
        <v>495</v>
      </c>
      <c r="M602" t="s">
        <v>496</v>
      </c>
      <c r="O602" t="s">
        <v>497</v>
      </c>
      <c r="P602" t="s">
        <v>258</v>
      </c>
    </row>
    <row r="603" spans="1:16" x14ac:dyDescent="0.25">
      <c r="A603">
        <v>10812</v>
      </c>
      <c r="B603" t="s">
        <v>493</v>
      </c>
      <c r="C603" s="1">
        <v>35797</v>
      </c>
      <c r="D603" s="1" t="str">
        <f t="shared" si="27"/>
        <v>jan</v>
      </c>
      <c r="E603" s="1" t="str">
        <f t="shared" si="28"/>
        <v>1998</v>
      </c>
      <c r="F603" s="1">
        <v>35825</v>
      </c>
      <c r="G603" s="1">
        <v>35807</v>
      </c>
      <c r="H603">
        <v>1</v>
      </c>
      <c r="I603" t="str">
        <f t="shared" si="29"/>
        <v>UPS</v>
      </c>
      <c r="J603">
        <v>59.78</v>
      </c>
      <c r="K603" t="s">
        <v>25</v>
      </c>
      <c r="L603" t="s">
        <v>495</v>
      </c>
      <c r="M603" t="s">
        <v>496</v>
      </c>
      <c r="O603" t="s">
        <v>497</v>
      </c>
      <c r="P603" t="s">
        <v>258</v>
      </c>
    </row>
    <row r="604" spans="1:16" x14ac:dyDescent="0.25">
      <c r="A604">
        <v>10908</v>
      </c>
      <c r="B604" t="s">
        <v>493</v>
      </c>
      <c r="C604" s="1">
        <v>35852</v>
      </c>
      <c r="D604" s="1" t="str">
        <f t="shared" si="27"/>
        <v>fev</v>
      </c>
      <c r="E604" s="1" t="str">
        <f t="shared" si="28"/>
        <v>1998</v>
      </c>
      <c r="F604" s="1">
        <v>35880</v>
      </c>
      <c r="G604" s="1">
        <v>35860</v>
      </c>
      <c r="H604">
        <v>2</v>
      </c>
      <c r="I604" t="str">
        <f t="shared" si="29"/>
        <v>USPS</v>
      </c>
      <c r="J604">
        <v>32.96</v>
      </c>
      <c r="K604" t="s">
        <v>25</v>
      </c>
      <c r="L604" t="s">
        <v>495</v>
      </c>
      <c r="M604" t="s">
        <v>496</v>
      </c>
      <c r="O604" t="s">
        <v>497</v>
      </c>
      <c r="P604" t="s">
        <v>258</v>
      </c>
    </row>
    <row r="605" spans="1:16" x14ac:dyDescent="0.25">
      <c r="A605">
        <v>10942</v>
      </c>
      <c r="B605" t="s">
        <v>493</v>
      </c>
      <c r="C605" s="1">
        <v>35865</v>
      </c>
      <c r="D605" s="1" t="str">
        <f t="shared" si="27"/>
        <v>mar</v>
      </c>
      <c r="E605" s="1" t="str">
        <f t="shared" si="28"/>
        <v>1998</v>
      </c>
      <c r="F605" s="1">
        <v>35893</v>
      </c>
      <c r="G605" s="1">
        <v>35872</v>
      </c>
      <c r="H605">
        <v>3</v>
      </c>
      <c r="I605" t="str">
        <f t="shared" si="29"/>
        <v>DHL</v>
      </c>
      <c r="J605">
        <v>17.95</v>
      </c>
      <c r="K605" t="s">
        <v>25</v>
      </c>
      <c r="L605" t="s">
        <v>495</v>
      </c>
      <c r="M605" t="s">
        <v>496</v>
      </c>
      <c r="O605" t="s">
        <v>497</v>
      </c>
      <c r="P605" t="s">
        <v>258</v>
      </c>
    </row>
    <row r="606" spans="1:16" x14ac:dyDescent="0.25">
      <c r="A606">
        <v>11010</v>
      </c>
      <c r="B606" t="s">
        <v>493</v>
      </c>
      <c r="C606" s="1">
        <v>35894</v>
      </c>
      <c r="D606" s="1" t="str">
        <f t="shared" si="27"/>
        <v>abr</v>
      </c>
      <c r="E606" s="1" t="str">
        <f t="shared" si="28"/>
        <v>1998</v>
      </c>
      <c r="F606" s="1">
        <v>35922</v>
      </c>
      <c r="G606" s="1">
        <v>35906</v>
      </c>
      <c r="H606">
        <v>2</v>
      </c>
      <c r="I606" t="str">
        <f t="shared" si="29"/>
        <v>USPS</v>
      </c>
      <c r="J606">
        <v>28.71</v>
      </c>
      <c r="K606" t="s">
        <v>25</v>
      </c>
      <c r="L606" t="s">
        <v>495</v>
      </c>
      <c r="M606" t="s">
        <v>496</v>
      </c>
      <c r="O606" t="s">
        <v>497</v>
      </c>
      <c r="P606" t="s">
        <v>258</v>
      </c>
    </row>
    <row r="607" spans="1:16" x14ac:dyDescent="0.25">
      <c r="A607">
        <v>11062</v>
      </c>
      <c r="B607" t="s">
        <v>493</v>
      </c>
      <c r="C607" s="1">
        <v>35915</v>
      </c>
      <c r="D607" s="1" t="str">
        <f t="shared" si="27"/>
        <v>abr</v>
      </c>
      <c r="E607" s="1" t="str">
        <f t="shared" si="28"/>
        <v>1998</v>
      </c>
      <c r="F607" s="1">
        <v>35943</v>
      </c>
      <c r="G607" s="1"/>
      <c r="H607">
        <v>2</v>
      </c>
      <c r="I607" t="str">
        <f t="shared" si="29"/>
        <v>USPS</v>
      </c>
      <c r="J607">
        <v>29.93</v>
      </c>
      <c r="K607" t="s">
        <v>25</v>
      </c>
      <c r="L607" t="s">
        <v>495</v>
      </c>
      <c r="M607" t="s">
        <v>496</v>
      </c>
      <c r="O607" t="s">
        <v>497</v>
      </c>
      <c r="P607" t="s">
        <v>258</v>
      </c>
    </row>
    <row r="608" spans="1:16" x14ac:dyDescent="0.25">
      <c r="A608">
        <v>10287</v>
      </c>
      <c r="B608" t="s">
        <v>499</v>
      </c>
      <c r="C608" s="1">
        <v>35299</v>
      </c>
      <c r="D608" s="1" t="str">
        <f t="shared" si="27"/>
        <v>ago</v>
      </c>
      <c r="E608" s="1" t="str">
        <f t="shared" si="28"/>
        <v>1996</v>
      </c>
      <c r="F608" s="1">
        <v>35327</v>
      </c>
      <c r="G608" s="1">
        <v>35305</v>
      </c>
      <c r="H608">
        <v>3</v>
      </c>
      <c r="I608" t="str">
        <f t="shared" si="29"/>
        <v>DHL</v>
      </c>
      <c r="J608">
        <v>12.76</v>
      </c>
      <c r="K608" t="s">
        <v>24</v>
      </c>
      <c r="L608" t="s">
        <v>501</v>
      </c>
      <c r="M608" t="s">
        <v>303</v>
      </c>
      <c r="N608" t="s">
        <v>304</v>
      </c>
      <c r="O608" t="s">
        <v>502</v>
      </c>
      <c r="P608" t="s">
        <v>189</v>
      </c>
    </row>
    <row r="609" spans="1:16" x14ac:dyDescent="0.25">
      <c r="A609">
        <v>10299</v>
      </c>
      <c r="B609" t="s">
        <v>499</v>
      </c>
      <c r="C609" s="1">
        <v>35314</v>
      </c>
      <c r="D609" s="1" t="str">
        <f t="shared" si="27"/>
        <v>set</v>
      </c>
      <c r="E609" s="1" t="str">
        <f t="shared" si="28"/>
        <v>1996</v>
      </c>
      <c r="F609" s="1">
        <v>35342</v>
      </c>
      <c r="G609" s="1">
        <v>35321</v>
      </c>
      <c r="H609">
        <v>2</v>
      </c>
      <c r="I609" t="str">
        <f t="shared" si="29"/>
        <v>USPS</v>
      </c>
      <c r="J609">
        <v>29.76</v>
      </c>
      <c r="K609" t="s">
        <v>24</v>
      </c>
      <c r="L609" t="s">
        <v>501</v>
      </c>
      <c r="M609" t="s">
        <v>303</v>
      </c>
      <c r="N609" t="s">
        <v>304</v>
      </c>
      <c r="O609" t="s">
        <v>502</v>
      </c>
      <c r="P609" t="s">
        <v>189</v>
      </c>
    </row>
    <row r="610" spans="1:16" x14ac:dyDescent="0.25">
      <c r="A610">
        <v>10447</v>
      </c>
      <c r="B610" t="s">
        <v>499</v>
      </c>
      <c r="C610" s="1">
        <v>35475</v>
      </c>
      <c r="D610" s="1" t="str">
        <f t="shared" si="27"/>
        <v>fev</v>
      </c>
      <c r="E610" s="1" t="str">
        <f t="shared" si="28"/>
        <v>1997</v>
      </c>
      <c r="F610" s="1">
        <v>35503</v>
      </c>
      <c r="G610" s="1">
        <v>35496</v>
      </c>
      <c r="H610">
        <v>2</v>
      </c>
      <c r="I610" t="str">
        <f t="shared" si="29"/>
        <v>USPS</v>
      </c>
      <c r="J610">
        <v>68.66</v>
      </c>
      <c r="K610" t="s">
        <v>24</v>
      </c>
      <c r="L610" t="s">
        <v>501</v>
      </c>
      <c r="M610" t="s">
        <v>303</v>
      </c>
      <c r="N610" t="s">
        <v>304</v>
      </c>
      <c r="O610" t="s">
        <v>502</v>
      </c>
      <c r="P610" t="s">
        <v>189</v>
      </c>
    </row>
    <row r="611" spans="1:16" x14ac:dyDescent="0.25">
      <c r="A611">
        <v>10481</v>
      </c>
      <c r="B611" t="s">
        <v>499</v>
      </c>
      <c r="C611" s="1">
        <v>35509</v>
      </c>
      <c r="D611" s="1" t="str">
        <f t="shared" si="27"/>
        <v>mar</v>
      </c>
      <c r="E611" s="1" t="str">
        <f t="shared" si="28"/>
        <v>1997</v>
      </c>
      <c r="F611" s="1">
        <v>35537</v>
      </c>
      <c r="G611" s="1">
        <v>35514</v>
      </c>
      <c r="H611">
        <v>2</v>
      </c>
      <c r="I611" t="str">
        <f t="shared" si="29"/>
        <v>USPS</v>
      </c>
      <c r="J611">
        <v>64.33</v>
      </c>
      <c r="K611" t="s">
        <v>24</v>
      </c>
      <c r="L611" t="s">
        <v>501</v>
      </c>
      <c r="M611" t="s">
        <v>303</v>
      </c>
      <c r="N611" t="s">
        <v>304</v>
      </c>
      <c r="O611" t="s">
        <v>502</v>
      </c>
      <c r="P611" t="s">
        <v>189</v>
      </c>
    </row>
    <row r="612" spans="1:16" x14ac:dyDescent="0.25">
      <c r="A612">
        <v>10563</v>
      </c>
      <c r="B612" t="s">
        <v>499</v>
      </c>
      <c r="C612" s="1">
        <v>35591</v>
      </c>
      <c r="D612" s="1" t="str">
        <f t="shared" si="27"/>
        <v>jun</v>
      </c>
      <c r="E612" s="1" t="str">
        <f t="shared" si="28"/>
        <v>1997</v>
      </c>
      <c r="F612" s="1">
        <v>35633</v>
      </c>
      <c r="G612" s="1">
        <v>35605</v>
      </c>
      <c r="H612">
        <v>2</v>
      </c>
      <c r="I612" t="str">
        <f t="shared" si="29"/>
        <v>USPS</v>
      </c>
      <c r="J612">
        <v>60.43</v>
      </c>
      <c r="K612" t="s">
        <v>24</v>
      </c>
      <c r="L612" t="s">
        <v>501</v>
      </c>
      <c r="M612" t="s">
        <v>303</v>
      </c>
      <c r="N612" t="s">
        <v>304</v>
      </c>
      <c r="O612" t="s">
        <v>502</v>
      </c>
      <c r="P612" t="s">
        <v>189</v>
      </c>
    </row>
    <row r="613" spans="1:16" x14ac:dyDescent="0.25">
      <c r="A613">
        <v>10622</v>
      </c>
      <c r="B613" t="s">
        <v>499</v>
      </c>
      <c r="C613" s="1">
        <v>35648</v>
      </c>
      <c r="D613" s="1" t="str">
        <f t="shared" si="27"/>
        <v>ago</v>
      </c>
      <c r="E613" s="1" t="str">
        <f t="shared" si="28"/>
        <v>1997</v>
      </c>
      <c r="F613" s="1">
        <v>35676</v>
      </c>
      <c r="G613" s="1">
        <v>35653</v>
      </c>
      <c r="H613">
        <v>3</v>
      </c>
      <c r="I613" t="str">
        <f t="shared" si="29"/>
        <v>DHL</v>
      </c>
      <c r="J613">
        <v>50.97</v>
      </c>
      <c r="K613" t="s">
        <v>24</v>
      </c>
      <c r="L613" t="s">
        <v>501</v>
      </c>
      <c r="M613" t="s">
        <v>303</v>
      </c>
      <c r="N613" t="s">
        <v>304</v>
      </c>
      <c r="O613" t="s">
        <v>502</v>
      </c>
      <c r="P613" t="s">
        <v>189</v>
      </c>
    </row>
    <row r="614" spans="1:16" x14ac:dyDescent="0.25">
      <c r="A614">
        <v>10648</v>
      </c>
      <c r="B614" t="s">
        <v>499</v>
      </c>
      <c r="C614" s="1">
        <v>35670</v>
      </c>
      <c r="D614" s="1" t="str">
        <f t="shared" si="27"/>
        <v>ago</v>
      </c>
      <c r="E614" s="1" t="str">
        <f t="shared" si="28"/>
        <v>1997</v>
      </c>
      <c r="F614" s="1">
        <v>35712</v>
      </c>
      <c r="G614" s="1">
        <v>35682</v>
      </c>
      <c r="H614">
        <v>2</v>
      </c>
      <c r="I614" t="str">
        <f t="shared" si="29"/>
        <v>USPS</v>
      </c>
      <c r="J614">
        <v>14.25</v>
      </c>
      <c r="K614" t="s">
        <v>24</v>
      </c>
      <c r="L614" t="s">
        <v>501</v>
      </c>
      <c r="M614" t="s">
        <v>303</v>
      </c>
      <c r="N614" t="s">
        <v>304</v>
      </c>
      <c r="O614" t="s">
        <v>502</v>
      </c>
      <c r="P614" t="s">
        <v>189</v>
      </c>
    </row>
    <row r="615" spans="1:16" x14ac:dyDescent="0.25">
      <c r="A615">
        <v>10813</v>
      </c>
      <c r="B615" t="s">
        <v>499</v>
      </c>
      <c r="C615" s="1">
        <v>35800</v>
      </c>
      <c r="D615" s="1" t="str">
        <f t="shared" si="27"/>
        <v>jan</v>
      </c>
      <c r="E615" s="1" t="str">
        <f t="shared" si="28"/>
        <v>1998</v>
      </c>
      <c r="F615" s="1">
        <v>35828</v>
      </c>
      <c r="G615" s="1">
        <v>35804</v>
      </c>
      <c r="H615">
        <v>1</v>
      </c>
      <c r="I615" t="str">
        <f t="shared" si="29"/>
        <v>UPS</v>
      </c>
      <c r="J615">
        <v>47.38</v>
      </c>
      <c r="K615" t="s">
        <v>24</v>
      </c>
      <c r="L615" t="s">
        <v>501</v>
      </c>
      <c r="M615" t="s">
        <v>303</v>
      </c>
      <c r="N615" t="s">
        <v>304</v>
      </c>
      <c r="O615" t="s">
        <v>502</v>
      </c>
      <c r="P615" t="s">
        <v>189</v>
      </c>
    </row>
    <row r="616" spans="1:16" x14ac:dyDescent="0.25">
      <c r="A616">
        <v>10851</v>
      </c>
      <c r="B616" t="s">
        <v>499</v>
      </c>
      <c r="C616" s="1">
        <v>35821</v>
      </c>
      <c r="D616" s="1" t="str">
        <f t="shared" si="27"/>
        <v>jan</v>
      </c>
      <c r="E616" s="1" t="str">
        <f t="shared" si="28"/>
        <v>1998</v>
      </c>
      <c r="F616" s="1">
        <v>35849</v>
      </c>
      <c r="G616" s="1">
        <v>35828</v>
      </c>
      <c r="H616">
        <v>1</v>
      </c>
      <c r="I616" t="str">
        <f t="shared" si="29"/>
        <v>UPS</v>
      </c>
      <c r="J616">
        <v>160.55000000000001</v>
      </c>
      <c r="K616" t="s">
        <v>24</v>
      </c>
      <c r="L616" t="s">
        <v>501</v>
      </c>
      <c r="M616" t="s">
        <v>303</v>
      </c>
      <c r="N616" t="s">
        <v>304</v>
      </c>
      <c r="O616" t="s">
        <v>502</v>
      </c>
      <c r="P616" t="s">
        <v>189</v>
      </c>
    </row>
    <row r="617" spans="1:16" x14ac:dyDescent="0.25">
      <c r="A617">
        <v>10877</v>
      </c>
      <c r="B617" t="s">
        <v>499</v>
      </c>
      <c r="C617" s="1">
        <v>35835</v>
      </c>
      <c r="D617" s="1" t="str">
        <f t="shared" si="27"/>
        <v>fev</v>
      </c>
      <c r="E617" s="1" t="str">
        <f t="shared" si="28"/>
        <v>1998</v>
      </c>
      <c r="F617" s="1">
        <v>35863</v>
      </c>
      <c r="G617" s="1">
        <v>35845</v>
      </c>
      <c r="H617">
        <v>1</v>
      </c>
      <c r="I617" t="str">
        <f t="shared" si="29"/>
        <v>UPS</v>
      </c>
      <c r="J617">
        <v>38.06</v>
      </c>
      <c r="K617" t="s">
        <v>24</v>
      </c>
      <c r="L617" t="s">
        <v>501</v>
      </c>
      <c r="M617" t="s">
        <v>303</v>
      </c>
      <c r="N617" t="s">
        <v>304</v>
      </c>
      <c r="O617" t="s">
        <v>502</v>
      </c>
      <c r="P617" t="s">
        <v>189</v>
      </c>
    </row>
    <row r="618" spans="1:16" x14ac:dyDescent="0.25">
      <c r="A618">
        <v>11059</v>
      </c>
      <c r="B618" t="s">
        <v>499</v>
      </c>
      <c r="C618" s="1">
        <v>35914</v>
      </c>
      <c r="D618" s="1" t="str">
        <f t="shared" si="27"/>
        <v>abr</v>
      </c>
      <c r="E618" s="1" t="str">
        <f t="shared" si="28"/>
        <v>1998</v>
      </c>
      <c r="F618" s="1">
        <v>35956</v>
      </c>
      <c r="G618" s="1"/>
      <c r="H618">
        <v>2</v>
      </c>
      <c r="I618" t="str">
        <f t="shared" si="29"/>
        <v>USPS</v>
      </c>
      <c r="J618">
        <v>85.8</v>
      </c>
      <c r="K618" t="s">
        <v>24</v>
      </c>
      <c r="L618" t="s">
        <v>501</v>
      </c>
      <c r="M618" t="s">
        <v>303</v>
      </c>
      <c r="N618" t="s">
        <v>304</v>
      </c>
      <c r="O618" t="s">
        <v>502</v>
      </c>
      <c r="P618" t="s">
        <v>189</v>
      </c>
    </row>
    <row r="619" spans="1:16" x14ac:dyDescent="0.25">
      <c r="A619">
        <v>10255</v>
      </c>
      <c r="B619" t="s">
        <v>504</v>
      </c>
      <c r="C619" s="1">
        <v>35258</v>
      </c>
      <c r="D619" s="1" t="str">
        <f t="shared" si="27"/>
        <v>jul</v>
      </c>
      <c r="E619" s="1" t="str">
        <f t="shared" si="28"/>
        <v>1996</v>
      </c>
      <c r="F619" s="1">
        <v>35286</v>
      </c>
      <c r="G619" s="1">
        <v>35261</v>
      </c>
      <c r="H619">
        <v>3</v>
      </c>
      <c r="I619" t="str">
        <f t="shared" si="29"/>
        <v>DHL</v>
      </c>
      <c r="J619">
        <v>148.33000000000001</v>
      </c>
      <c r="K619" t="s">
        <v>23</v>
      </c>
      <c r="L619" t="s">
        <v>667</v>
      </c>
      <c r="M619" t="s">
        <v>507</v>
      </c>
      <c r="O619" t="s">
        <v>668</v>
      </c>
      <c r="P619" t="s">
        <v>180</v>
      </c>
    </row>
    <row r="620" spans="1:16" x14ac:dyDescent="0.25">
      <c r="A620">
        <v>10419</v>
      </c>
      <c r="B620" t="s">
        <v>504</v>
      </c>
      <c r="C620" s="1">
        <v>35450</v>
      </c>
      <c r="D620" s="1" t="str">
        <f t="shared" si="27"/>
        <v>jan</v>
      </c>
      <c r="E620" s="1" t="str">
        <f t="shared" si="28"/>
        <v>1997</v>
      </c>
      <c r="F620" s="1">
        <v>35478</v>
      </c>
      <c r="G620" s="1">
        <v>35460</v>
      </c>
      <c r="H620">
        <v>2</v>
      </c>
      <c r="I620" t="str">
        <f t="shared" si="29"/>
        <v>USPS</v>
      </c>
      <c r="J620">
        <v>137.35</v>
      </c>
      <c r="K620" t="s">
        <v>23</v>
      </c>
      <c r="L620" t="s">
        <v>667</v>
      </c>
      <c r="M620" t="s">
        <v>507</v>
      </c>
      <c r="O620" t="s">
        <v>668</v>
      </c>
      <c r="P620" t="s">
        <v>180</v>
      </c>
    </row>
    <row r="621" spans="1:16" x14ac:dyDescent="0.25">
      <c r="A621">
        <v>10537</v>
      </c>
      <c r="B621" t="s">
        <v>504</v>
      </c>
      <c r="C621" s="1">
        <v>35564</v>
      </c>
      <c r="D621" s="1" t="str">
        <f t="shared" si="27"/>
        <v>mai</v>
      </c>
      <c r="E621" s="1" t="str">
        <f t="shared" si="28"/>
        <v>1997</v>
      </c>
      <c r="F621" s="1">
        <v>35578</v>
      </c>
      <c r="G621" s="1">
        <v>35569</v>
      </c>
      <c r="H621">
        <v>1</v>
      </c>
      <c r="I621" t="str">
        <f t="shared" si="29"/>
        <v>UPS</v>
      </c>
      <c r="J621">
        <v>78.849999999999994</v>
      </c>
      <c r="K621" t="s">
        <v>23</v>
      </c>
      <c r="L621" t="s">
        <v>667</v>
      </c>
      <c r="M621" t="s">
        <v>507</v>
      </c>
      <c r="O621" t="s">
        <v>668</v>
      </c>
      <c r="P621" t="s">
        <v>180</v>
      </c>
    </row>
    <row r="622" spans="1:16" x14ac:dyDescent="0.25">
      <c r="A622">
        <v>10666</v>
      </c>
      <c r="B622" t="s">
        <v>504</v>
      </c>
      <c r="C622" s="1">
        <v>35685</v>
      </c>
      <c r="D622" s="1" t="str">
        <f t="shared" si="27"/>
        <v>set</v>
      </c>
      <c r="E622" s="1" t="str">
        <f t="shared" si="28"/>
        <v>1997</v>
      </c>
      <c r="F622" s="1">
        <v>35713</v>
      </c>
      <c r="G622" s="1">
        <v>35695</v>
      </c>
      <c r="H622">
        <v>2</v>
      </c>
      <c r="I622" t="str">
        <f t="shared" si="29"/>
        <v>USPS</v>
      </c>
      <c r="J622">
        <v>232.42</v>
      </c>
      <c r="K622" t="s">
        <v>23</v>
      </c>
      <c r="L622" t="s">
        <v>667</v>
      </c>
      <c r="M622" t="s">
        <v>507</v>
      </c>
      <c r="O622" t="s">
        <v>668</v>
      </c>
      <c r="P622" t="s">
        <v>180</v>
      </c>
    </row>
    <row r="623" spans="1:16" x14ac:dyDescent="0.25">
      <c r="A623">
        <v>10751</v>
      </c>
      <c r="B623" t="s">
        <v>504</v>
      </c>
      <c r="C623" s="1">
        <v>35758</v>
      </c>
      <c r="D623" s="1" t="str">
        <f t="shared" si="27"/>
        <v>nov</v>
      </c>
      <c r="E623" s="1" t="str">
        <f t="shared" si="28"/>
        <v>1997</v>
      </c>
      <c r="F623" s="1">
        <v>35786</v>
      </c>
      <c r="G623" s="1">
        <v>35767</v>
      </c>
      <c r="H623">
        <v>3</v>
      </c>
      <c r="I623" t="str">
        <f t="shared" si="29"/>
        <v>DHL</v>
      </c>
      <c r="J623">
        <v>130.79</v>
      </c>
      <c r="K623" t="s">
        <v>23</v>
      </c>
      <c r="L623" t="s">
        <v>667</v>
      </c>
      <c r="M623" t="s">
        <v>507</v>
      </c>
      <c r="O623" t="s">
        <v>668</v>
      </c>
      <c r="P623" t="s">
        <v>180</v>
      </c>
    </row>
    <row r="624" spans="1:16" x14ac:dyDescent="0.25">
      <c r="A624">
        <v>10758</v>
      </c>
      <c r="B624" t="s">
        <v>504</v>
      </c>
      <c r="C624" s="1">
        <v>35762</v>
      </c>
      <c r="D624" s="1" t="str">
        <f t="shared" si="27"/>
        <v>nov</v>
      </c>
      <c r="E624" s="1" t="str">
        <f t="shared" si="28"/>
        <v>1997</v>
      </c>
      <c r="F624" s="1">
        <v>35790</v>
      </c>
      <c r="G624" s="1">
        <v>35768</v>
      </c>
      <c r="H624">
        <v>3</v>
      </c>
      <c r="I624" t="str">
        <f t="shared" si="29"/>
        <v>DHL</v>
      </c>
      <c r="J624">
        <v>138.16999999999999</v>
      </c>
      <c r="K624" t="s">
        <v>23</v>
      </c>
      <c r="L624" t="s">
        <v>667</v>
      </c>
      <c r="M624" t="s">
        <v>507</v>
      </c>
      <c r="O624" t="s">
        <v>668</v>
      </c>
      <c r="P624" t="s">
        <v>180</v>
      </c>
    </row>
    <row r="625" spans="1:16" x14ac:dyDescent="0.25">
      <c r="A625">
        <v>10931</v>
      </c>
      <c r="B625" t="s">
        <v>504</v>
      </c>
      <c r="C625" s="1">
        <v>35860</v>
      </c>
      <c r="D625" s="1" t="str">
        <f t="shared" si="27"/>
        <v>mar</v>
      </c>
      <c r="E625" s="1" t="str">
        <f t="shared" si="28"/>
        <v>1998</v>
      </c>
      <c r="F625" s="1">
        <v>35874</v>
      </c>
      <c r="G625" s="1">
        <v>35873</v>
      </c>
      <c r="H625">
        <v>2</v>
      </c>
      <c r="I625" t="str">
        <f t="shared" si="29"/>
        <v>USPS</v>
      </c>
      <c r="J625">
        <v>13.6</v>
      </c>
      <c r="K625" t="s">
        <v>23</v>
      </c>
      <c r="L625" t="s">
        <v>667</v>
      </c>
      <c r="M625" t="s">
        <v>507</v>
      </c>
      <c r="O625" t="s">
        <v>668</v>
      </c>
      <c r="P625" t="s">
        <v>180</v>
      </c>
    </row>
    <row r="626" spans="1:16" x14ac:dyDescent="0.25">
      <c r="A626">
        <v>10951</v>
      </c>
      <c r="B626" t="s">
        <v>504</v>
      </c>
      <c r="C626" s="1">
        <v>35870</v>
      </c>
      <c r="D626" s="1" t="str">
        <f t="shared" si="27"/>
        <v>mar</v>
      </c>
      <c r="E626" s="1" t="str">
        <f t="shared" si="28"/>
        <v>1998</v>
      </c>
      <c r="F626" s="1">
        <v>35912</v>
      </c>
      <c r="G626" s="1">
        <v>35892</v>
      </c>
      <c r="H626">
        <v>2</v>
      </c>
      <c r="I626" t="str">
        <f t="shared" si="29"/>
        <v>USPS</v>
      </c>
      <c r="J626">
        <v>30.85</v>
      </c>
      <c r="K626" t="s">
        <v>23</v>
      </c>
      <c r="L626" t="s">
        <v>667</v>
      </c>
      <c r="M626" t="s">
        <v>507</v>
      </c>
      <c r="O626" t="s">
        <v>668</v>
      </c>
      <c r="P626" t="s">
        <v>180</v>
      </c>
    </row>
    <row r="627" spans="1:16" x14ac:dyDescent="0.25">
      <c r="A627">
        <v>11033</v>
      </c>
      <c r="B627" t="s">
        <v>504</v>
      </c>
      <c r="C627" s="1">
        <v>35902</v>
      </c>
      <c r="D627" s="1" t="str">
        <f t="shared" si="27"/>
        <v>abr</v>
      </c>
      <c r="E627" s="1" t="str">
        <f t="shared" si="28"/>
        <v>1998</v>
      </c>
      <c r="F627" s="1">
        <v>35930</v>
      </c>
      <c r="G627" s="1">
        <v>35908</v>
      </c>
      <c r="H627">
        <v>3</v>
      </c>
      <c r="I627" t="str">
        <f t="shared" si="29"/>
        <v>DHL</v>
      </c>
      <c r="J627">
        <v>84.74</v>
      </c>
      <c r="K627" t="s">
        <v>23</v>
      </c>
      <c r="L627" t="s">
        <v>667</v>
      </c>
      <c r="M627" t="s">
        <v>507</v>
      </c>
      <c r="O627" t="s">
        <v>668</v>
      </c>
      <c r="P627" t="s">
        <v>180</v>
      </c>
    </row>
    <row r="628" spans="1:16" x14ac:dyDescent="0.25">
      <c r="A628">
        <v>11075</v>
      </c>
      <c r="B628" t="s">
        <v>504</v>
      </c>
      <c r="C628" s="1">
        <v>35921</v>
      </c>
      <c r="D628" s="1" t="str">
        <f t="shared" si="27"/>
        <v>mai</v>
      </c>
      <c r="E628" s="1" t="str">
        <f t="shared" si="28"/>
        <v>1998</v>
      </c>
      <c r="F628" s="1">
        <v>35949</v>
      </c>
      <c r="G628" s="1"/>
      <c r="H628">
        <v>2</v>
      </c>
      <c r="I628" t="str">
        <f t="shared" si="29"/>
        <v>USPS</v>
      </c>
      <c r="J628">
        <v>6.19</v>
      </c>
      <c r="K628" t="s">
        <v>23</v>
      </c>
      <c r="L628" t="s">
        <v>667</v>
      </c>
      <c r="M628" t="s">
        <v>507</v>
      </c>
      <c r="O628" t="s">
        <v>668</v>
      </c>
      <c r="P628" t="s">
        <v>180</v>
      </c>
    </row>
    <row r="629" spans="1:16" x14ac:dyDescent="0.25">
      <c r="A629">
        <v>10281</v>
      </c>
      <c r="B629" t="s">
        <v>510</v>
      </c>
      <c r="C629" s="1">
        <v>35291</v>
      </c>
      <c r="D629" s="1" t="str">
        <f t="shared" si="27"/>
        <v>ago</v>
      </c>
      <c r="E629" s="1" t="str">
        <f t="shared" si="28"/>
        <v>1996</v>
      </c>
      <c r="F629" s="1">
        <v>35305</v>
      </c>
      <c r="G629" s="1">
        <v>35298</v>
      </c>
      <c r="H629">
        <v>1</v>
      </c>
      <c r="I629" t="str">
        <f t="shared" si="29"/>
        <v>UPS</v>
      </c>
      <c r="J629">
        <v>2.94</v>
      </c>
      <c r="K629" t="s">
        <v>22</v>
      </c>
      <c r="L629" t="s">
        <v>512</v>
      </c>
      <c r="M629" t="s">
        <v>139</v>
      </c>
      <c r="O629" t="s">
        <v>513</v>
      </c>
      <c r="P629" t="s">
        <v>141</v>
      </c>
    </row>
    <row r="630" spans="1:16" x14ac:dyDescent="0.25">
      <c r="A630">
        <v>10282</v>
      </c>
      <c r="B630" t="s">
        <v>510</v>
      </c>
      <c r="C630" s="1">
        <v>35292</v>
      </c>
      <c r="D630" s="1" t="str">
        <f t="shared" si="27"/>
        <v>ago</v>
      </c>
      <c r="E630" s="1" t="str">
        <f t="shared" si="28"/>
        <v>1996</v>
      </c>
      <c r="F630" s="1">
        <v>35320</v>
      </c>
      <c r="G630" s="1">
        <v>35298</v>
      </c>
      <c r="H630">
        <v>1</v>
      </c>
      <c r="I630" t="str">
        <f t="shared" si="29"/>
        <v>UPS</v>
      </c>
      <c r="J630">
        <v>12.69</v>
      </c>
      <c r="K630" t="s">
        <v>22</v>
      </c>
      <c r="L630" t="s">
        <v>512</v>
      </c>
      <c r="M630" t="s">
        <v>139</v>
      </c>
      <c r="O630" t="s">
        <v>513</v>
      </c>
      <c r="P630" t="s">
        <v>141</v>
      </c>
    </row>
    <row r="631" spans="1:16" x14ac:dyDescent="0.25">
      <c r="A631">
        <v>10306</v>
      </c>
      <c r="B631" t="s">
        <v>510</v>
      </c>
      <c r="C631" s="1">
        <v>35324</v>
      </c>
      <c r="D631" s="1" t="str">
        <f t="shared" si="27"/>
        <v>set</v>
      </c>
      <c r="E631" s="1" t="str">
        <f t="shared" si="28"/>
        <v>1996</v>
      </c>
      <c r="F631" s="1">
        <v>35352</v>
      </c>
      <c r="G631" s="1">
        <v>35331</v>
      </c>
      <c r="H631">
        <v>3</v>
      </c>
      <c r="I631" t="str">
        <f t="shared" si="29"/>
        <v>DHL</v>
      </c>
      <c r="J631">
        <v>7.56</v>
      </c>
      <c r="K631" t="s">
        <v>22</v>
      </c>
      <c r="L631" t="s">
        <v>512</v>
      </c>
      <c r="M631" t="s">
        <v>139</v>
      </c>
      <c r="O631" t="s">
        <v>513</v>
      </c>
      <c r="P631" t="s">
        <v>141</v>
      </c>
    </row>
    <row r="632" spans="1:16" x14ac:dyDescent="0.25">
      <c r="A632">
        <v>10917</v>
      </c>
      <c r="B632" t="s">
        <v>510</v>
      </c>
      <c r="C632" s="1">
        <v>35856</v>
      </c>
      <c r="D632" s="1" t="str">
        <f t="shared" si="27"/>
        <v>mar</v>
      </c>
      <c r="E632" s="1" t="str">
        <f t="shared" si="28"/>
        <v>1998</v>
      </c>
      <c r="F632" s="1">
        <v>35884</v>
      </c>
      <c r="G632" s="1">
        <v>35865</v>
      </c>
      <c r="H632">
        <v>2</v>
      </c>
      <c r="I632" t="str">
        <f t="shared" si="29"/>
        <v>USPS</v>
      </c>
      <c r="J632">
        <v>8.2899999999999991</v>
      </c>
      <c r="K632" t="s">
        <v>22</v>
      </c>
      <c r="L632" t="s">
        <v>512</v>
      </c>
      <c r="M632" t="s">
        <v>139</v>
      </c>
      <c r="O632" t="s">
        <v>513</v>
      </c>
      <c r="P632" t="s">
        <v>141</v>
      </c>
    </row>
    <row r="633" spans="1:16" x14ac:dyDescent="0.25">
      <c r="A633">
        <v>11013</v>
      </c>
      <c r="B633" t="s">
        <v>510</v>
      </c>
      <c r="C633" s="1">
        <v>35894</v>
      </c>
      <c r="D633" s="1" t="str">
        <f t="shared" si="27"/>
        <v>abr</v>
      </c>
      <c r="E633" s="1" t="str">
        <f t="shared" si="28"/>
        <v>1998</v>
      </c>
      <c r="F633" s="1">
        <v>35922</v>
      </c>
      <c r="G633" s="1">
        <v>35895</v>
      </c>
      <c r="H633">
        <v>1</v>
      </c>
      <c r="I633" t="str">
        <f t="shared" si="29"/>
        <v>UPS</v>
      </c>
      <c r="J633">
        <v>32.99</v>
      </c>
      <c r="K633" t="s">
        <v>22</v>
      </c>
      <c r="L633" t="s">
        <v>512</v>
      </c>
      <c r="M633" t="s">
        <v>139</v>
      </c>
      <c r="O633" t="s">
        <v>513</v>
      </c>
      <c r="P633" t="s">
        <v>141</v>
      </c>
    </row>
    <row r="634" spans="1:16" x14ac:dyDescent="0.25">
      <c r="A634">
        <v>10387</v>
      </c>
      <c r="B634" t="s">
        <v>515</v>
      </c>
      <c r="C634" s="1">
        <v>35417</v>
      </c>
      <c r="D634" s="1" t="str">
        <f t="shared" si="27"/>
        <v>dez</v>
      </c>
      <c r="E634" s="1" t="str">
        <f t="shared" si="28"/>
        <v>1996</v>
      </c>
      <c r="F634" s="1">
        <v>35445</v>
      </c>
      <c r="G634" s="1">
        <v>35419</v>
      </c>
      <c r="H634">
        <v>2</v>
      </c>
      <c r="I634" t="str">
        <f t="shared" si="29"/>
        <v>USPS</v>
      </c>
      <c r="J634">
        <v>93.63</v>
      </c>
      <c r="K634" t="s">
        <v>21</v>
      </c>
      <c r="L634" t="s">
        <v>517</v>
      </c>
      <c r="M634" t="s">
        <v>518</v>
      </c>
      <c r="O634" t="s">
        <v>519</v>
      </c>
      <c r="P634" t="s">
        <v>520</v>
      </c>
    </row>
    <row r="635" spans="1:16" x14ac:dyDescent="0.25">
      <c r="A635">
        <v>10520</v>
      </c>
      <c r="B635" t="s">
        <v>515</v>
      </c>
      <c r="C635" s="1">
        <v>35549</v>
      </c>
      <c r="D635" s="1" t="str">
        <f t="shared" si="27"/>
        <v>abr</v>
      </c>
      <c r="E635" s="1" t="str">
        <f t="shared" si="28"/>
        <v>1997</v>
      </c>
      <c r="F635" s="1">
        <v>35577</v>
      </c>
      <c r="G635" s="1">
        <v>35551</v>
      </c>
      <c r="H635">
        <v>1</v>
      </c>
      <c r="I635" t="str">
        <f t="shared" si="29"/>
        <v>UPS</v>
      </c>
      <c r="J635">
        <v>13.37</v>
      </c>
      <c r="K635" t="s">
        <v>21</v>
      </c>
      <c r="L635" t="s">
        <v>517</v>
      </c>
      <c r="M635" t="s">
        <v>518</v>
      </c>
      <c r="O635" t="s">
        <v>519</v>
      </c>
      <c r="P635" t="s">
        <v>520</v>
      </c>
    </row>
    <row r="636" spans="1:16" x14ac:dyDescent="0.25">
      <c r="A636">
        <v>10639</v>
      </c>
      <c r="B636" t="s">
        <v>515</v>
      </c>
      <c r="C636" s="1">
        <v>35662</v>
      </c>
      <c r="D636" s="1" t="str">
        <f t="shared" si="27"/>
        <v>ago</v>
      </c>
      <c r="E636" s="1" t="str">
        <f t="shared" si="28"/>
        <v>1997</v>
      </c>
      <c r="F636" s="1">
        <v>35690</v>
      </c>
      <c r="G636" s="1">
        <v>35669</v>
      </c>
      <c r="H636">
        <v>3</v>
      </c>
      <c r="I636" t="str">
        <f t="shared" si="29"/>
        <v>DHL</v>
      </c>
      <c r="J636">
        <v>38.64</v>
      </c>
      <c r="K636" t="s">
        <v>21</v>
      </c>
      <c r="L636" t="s">
        <v>517</v>
      </c>
      <c r="M636" t="s">
        <v>518</v>
      </c>
      <c r="O636" t="s">
        <v>519</v>
      </c>
      <c r="P636" t="s">
        <v>520</v>
      </c>
    </row>
    <row r="637" spans="1:16" x14ac:dyDescent="0.25">
      <c r="A637">
        <v>10831</v>
      </c>
      <c r="B637" t="s">
        <v>515</v>
      </c>
      <c r="C637" s="1">
        <v>35809</v>
      </c>
      <c r="D637" s="1" t="str">
        <f t="shared" si="27"/>
        <v>jan</v>
      </c>
      <c r="E637" s="1" t="str">
        <f t="shared" si="28"/>
        <v>1998</v>
      </c>
      <c r="F637" s="1">
        <v>35837</v>
      </c>
      <c r="G637" s="1">
        <v>35818</v>
      </c>
      <c r="H637">
        <v>2</v>
      </c>
      <c r="I637" t="str">
        <f t="shared" si="29"/>
        <v>USPS</v>
      </c>
      <c r="J637">
        <v>72.19</v>
      </c>
      <c r="K637" t="s">
        <v>21</v>
      </c>
      <c r="L637" t="s">
        <v>517</v>
      </c>
      <c r="M637" t="s">
        <v>518</v>
      </c>
      <c r="O637" t="s">
        <v>519</v>
      </c>
      <c r="P637" t="s">
        <v>520</v>
      </c>
    </row>
    <row r="638" spans="1:16" x14ac:dyDescent="0.25">
      <c r="A638">
        <v>10909</v>
      </c>
      <c r="B638" t="s">
        <v>515</v>
      </c>
      <c r="C638" s="1">
        <v>35852</v>
      </c>
      <c r="D638" s="1" t="str">
        <f t="shared" si="27"/>
        <v>fev</v>
      </c>
      <c r="E638" s="1" t="str">
        <f t="shared" si="28"/>
        <v>1998</v>
      </c>
      <c r="F638" s="1">
        <v>35880</v>
      </c>
      <c r="G638" s="1">
        <v>35864</v>
      </c>
      <c r="H638">
        <v>2</v>
      </c>
      <c r="I638" t="str">
        <f t="shared" si="29"/>
        <v>USPS</v>
      </c>
      <c r="J638">
        <v>53.05</v>
      </c>
      <c r="K638" t="s">
        <v>21</v>
      </c>
      <c r="L638" t="s">
        <v>517</v>
      </c>
      <c r="M638" t="s">
        <v>518</v>
      </c>
      <c r="O638" t="s">
        <v>519</v>
      </c>
      <c r="P638" t="s">
        <v>520</v>
      </c>
    </row>
    <row r="639" spans="1:16" x14ac:dyDescent="0.25">
      <c r="A639">
        <v>11015</v>
      </c>
      <c r="B639" t="s">
        <v>515</v>
      </c>
      <c r="C639" s="1">
        <v>35895</v>
      </c>
      <c r="D639" s="1" t="str">
        <f t="shared" si="27"/>
        <v>abr</v>
      </c>
      <c r="E639" s="1" t="str">
        <f t="shared" si="28"/>
        <v>1998</v>
      </c>
      <c r="F639" s="1">
        <v>35909</v>
      </c>
      <c r="G639" s="1">
        <v>35905</v>
      </c>
      <c r="H639">
        <v>2</v>
      </c>
      <c r="I639" t="str">
        <f t="shared" si="29"/>
        <v>USPS</v>
      </c>
      <c r="J639">
        <v>4.62</v>
      </c>
      <c r="K639" t="s">
        <v>21</v>
      </c>
      <c r="L639" t="s">
        <v>517</v>
      </c>
      <c r="M639" t="s">
        <v>518</v>
      </c>
      <c r="O639" t="s">
        <v>519</v>
      </c>
      <c r="P639" t="s">
        <v>520</v>
      </c>
    </row>
    <row r="640" spans="1:16" x14ac:dyDescent="0.25">
      <c r="A640">
        <v>10324</v>
      </c>
      <c r="B640" t="s">
        <v>522</v>
      </c>
      <c r="C640" s="1">
        <v>35346</v>
      </c>
      <c r="D640" s="1" t="str">
        <f t="shared" si="27"/>
        <v>out</v>
      </c>
      <c r="E640" s="1" t="str">
        <f t="shared" si="28"/>
        <v>1996</v>
      </c>
      <c r="F640" s="1">
        <v>35374</v>
      </c>
      <c r="G640" s="1">
        <v>35348</v>
      </c>
      <c r="H640">
        <v>1</v>
      </c>
      <c r="I640" t="str">
        <f t="shared" si="29"/>
        <v>UPS</v>
      </c>
      <c r="J640">
        <v>214.27</v>
      </c>
      <c r="K640" t="s">
        <v>20</v>
      </c>
      <c r="L640" t="s">
        <v>524</v>
      </c>
      <c r="M640" t="s">
        <v>525</v>
      </c>
      <c r="N640" t="s">
        <v>526</v>
      </c>
      <c r="O640" t="s">
        <v>527</v>
      </c>
      <c r="P640" t="s">
        <v>290</v>
      </c>
    </row>
    <row r="641" spans="1:16" x14ac:dyDescent="0.25">
      <c r="A641">
        <v>10393</v>
      </c>
      <c r="B641" t="s">
        <v>522</v>
      </c>
      <c r="C641" s="1">
        <v>35424</v>
      </c>
      <c r="D641" s="1" t="str">
        <f t="shared" si="27"/>
        <v>dez</v>
      </c>
      <c r="E641" s="1" t="str">
        <f t="shared" si="28"/>
        <v>1996</v>
      </c>
      <c r="F641" s="1">
        <v>35452</v>
      </c>
      <c r="G641" s="1">
        <v>35433</v>
      </c>
      <c r="H641">
        <v>3</v>
      </c>
      <c r="I641" t="str">
        <f t="shared" si="29"/>
        <v>DHL</v>
      </c>
      <c r="J641">
        <v>126.56</v>
      </c>
      <c r="K641" t="s">
        <v>20</v>
      </c>
      <c r="L641" t="s">
        <v>524</v>
      </c>
      <c r="M641" t="s">
        <v>525</v>
      </c>
      <c r="N641" t="s">
        <v>526</v>
      </c>
      <c r="O641" t="s">
        <v>527</v>
      </c>
      <c r="P641" t="s">
        <v>290</v>
      </c>
    </row>
    <row r="642" spans="1:16" x14ac:dyDescent="0.25">
      <c r="A642">
        <v>10398</v>
      </c>
      <c r="B642" t="s">
        <v>522</v>
      </c>
      <c r="C642" s="1">
        <v>35429</v>
      </c>
      <c r="D642" s="1" t="str">
        <f t="shared" si="27"/>
        <v>dez</v>
      </c>
      <c r="E642" s="1" t="str">
        <f t="shared" si="28"/>
        <v>1996</v>
      </c>
      <c r="F642" s="1">
        <v>35457</v>
      </c>
      <c r="G642" s="1">
        <v>35439</v>
      </c>
      <c r="H642">
        <v>3</v>
      </c>
      <c r="I642" t="str">
        <f t="shared" si="29"/>
        <v>DHL</v>
      </c>
      <c r="J642">
        <v>89.16</v>
      </c>
      <c r="K642" t="s">
        <v>20</v>
      </c>
      <c r="L642" t="s">
        <v>524</v>
      </c>
      <c r="M642" t="s">
        <v>525</v>
      </c>
      <c r="N642" t="s">
        <v>526</v>
      </c>
      <c r="O642" t="s">
        <v>527</v>
      </c>
      <c r="P642" t="s">
        <v>290</v>
      </c>
    </row>
    <row r="643" spans="1:16" x14ac:dyDescent="0.25">
      <c r="A643">
        <v>10440</v>
      </c>
      <c r="B643" t="s">
        <v>522</v>
      </c>
      <c r="C643" s="1">
        <v>35471</v>
      </c>
      <c r="D643" s="1" t="str">
        <f t="shared" ref="D643:D706" si="30">TEXT(C643,"mmm")</f>
        <v>fev</v>
      </c>
      <c r="E643" s="1" t="str">
        <f t="shared" ref="E643:E706" si="31">TEXT(C643,"aaa")</f>
        <v>1997</v>
      </c>
      <c r="F643" s="1">
        <v>35499</v>
      </c>
      <c r="G643" s="1">
        <v>35489</v>
      </c>
      <c r="H643">
        <v>2</v>
      </c>
      <c r="I643" t="str">
        <f t="shared" ref="I643:I706" si="32">CHOOSE(H643,"UPS","USPS","DHL")</f>
        <v>USPS</v>
      </c>
      <c r="J643">
        <v>86.53</v>
      </c>
      <c r="K643" t="s">
        <v>20</v>
      </c>
      <c r="L643" t="s">
        <v>524</v>
      </c>
      <c r="M643" t="s">
        <v>525</v>
      </c>
      <c r="N643" t="s">
        <v>526</v>
      </c>
      <c r="O643" t="s">
        <v>527</v>
      </c>
      <c r="P643" t="s">
        <v>290</v>
      </c>
    </row>
    <row r="644" spans="1:16" x14ac:dyDescent="0.25">
      <c r="A644">
        <v>10452</v>
      </c>
      <c r="B644" t="s">
        <v>522</v>
      </c>
      <c r="C644" s="1">
        <v>35481</v>
      </c>
      <c r="D644" s="1" t="str">
        <f t="shared" si="30"/>
        <v>fev</v>
      </c>
      <c r="E644" s="1" t="str">
        <f t="shared" si="31"/>
        <v>1997</v>
      </c>
      <c r="F644" s="1">
        <v>35509</v>
      </c>
      <c r="G644" s="1">
        <v>35487</v>
      </c>
      <c r="H644">
        <v>1</v>
      </c>
      <c r="I644" t="str">
        <f t="shared" si="32"/>
        <v>UPS</v>
      </c>
      <c r="J644">
        <v>140.26</v>
      </c>
      <c r="K644" t="s">
        <v>20</v>
      </c>
      <c r="L644" t="s">
        <v>524</v>
      </c>
      <c r="M644" t="s">
        <v>525</v>
      </c>
      <c r="N644" t="s">
        <v>526</v>
      </c>
      <c r="O644" t="s">
        <v>527</v>
      </c>
      <c r="P644" t="s">
        <v>290</v>
      </c>
    </row>
    <row r="645" spans="1:16" x14ac:dyDescent="0.25">
      <c r="A645">
        <v>10510</v>
      </c>
      <c r="B645" t="s">
        <v>522</v>
      </c>
      <c r="C645" s="1">
        <v>35538</v>
      </c>
      <c r="D645" s="1" t="str">
        <f t="shared" si="30"/>
        <v>abr</v>
      </c>
      <c r="E645" s="1" t="str">
        <f t="shared" si="31"/>
        <v>1997</v>
      </c>
      <c r="F645" s="1">
        <v>35566</v>
      </c>
      <c r="G645" s="1">
        <v>35548</v>
      </c>
      <c r="H645">
        <v>3</v>
      </c>
      <c r="I645" t="str">
        <f t="shared" si="32"/>
        <v>DHL</v>
      </c>
      <c r="J645">
        <v>367.63</v>
      </c>
      <c r="K645" t="s">
        <v>20</v>
      </c>
      <c r="L645" t="s">
        <v>524</v>
      </c>
      <c r="M645" t="s">
        <v>525</v>
      </c>
      <c r="N645" t="s">
        <v>526</v>
      </c>
      <c r="O645" t="s">
        <v>527</v>
      </c>
      <c r="P645" t="s">
        <v>290</v>
      </c>
    </row>
    <row r="646" spans="1:16" x14ac:dyDescent="0.25">
      <c r="A646">
        <v>10555</v>
      </c>
      <c r="B646" t="s">
        <v>522</v>
      </c>
      <c r="C646" s="1">
        <v>35583</v>
      </c>
      <c r="D646" s="1" t="str">
        <f t="shared" si="30"/>
        <v>jun</v>
      </c>
      <c r="E646" s="1" t="str">
        <f t="shared" si="31"/>
        <v>1997</v>
      </c>
      <c r="F646" s="1">
        <v>35611</v>
      </c>
      <c r="G646" s="1">
        <v>35585</v>
      </c>
      <c r="H646">
        <v>3</v>
      </c>
      <c r="I646" t="str">
        <f t="shared" si="32"/>
        <v>DHL</v>
      </c>
      <c r="J646">
        <v>252.49</v>
      </c>
      <c r="K646" t="s">
        <v>20</v>
      </c>
      <c r="L646" t="s">
        <v>524</v>
      </c>
      <c r="M646" t="s">
        <v>525</v>
      </c>
      <c r="N646" t="s">
        <v>526</v>
      </c>
      <c r="O646" t="s">
        <v>527</v>
      </c>
      <c r="P646" t="s">
        <v>290</v>
      </c>
    </row>
    <row r="647" spans="1:16" x14ac:dyDescent="0.25">
      <c r="A647">
        <v>10603</v>
      </c>
      <c r="B647" t="s">
        <v>522</v>
      </c>
      <c r="C647" s="1">
        <v>35629</v>
      </c>
      <c r="D647" s="1" t="str">
        <f t="shared" si="30"/>
        <v>jul</v>
      </c>
      <c r="E647" s="1" t="str">
        <f t="shared" si="31"/>
        <v>1997</v>
      </c>
      <c r="F647" s="1">
        <v>35657</v>
      </c>
      <c r="G647" s="1">
        <v>35650</v>
      </c>
      <c r="H647">
        <v>2</v>
      </c>
      <c r="I647" t="str">
        <f t="shared" si="32"/>
        <v>USPS</v>
      </c>
      <c r="J647">
        <v>48.77</v>
      </c>
      <c r="K647" t="s">
        <v>20</v>
      </c>
      <c r="L647" t="s">
        <v>524</v>
      </c>
      <c r="M647" t="s">
        <v>525</v>
      </c>
      <c r="N647" t="s">
        <v>526</v>
      </c>
      <c r="O647" t="s">
        <v>527</v>
      </c>
      <c r="P647" t="s">
        <v>290</v>
      </c>
    </row>
    <row r="648" spans="1:16" x14ac:dyDescent="0.25">
      <c r="A648">
        <v>10607</v>
      </c>
      <c r="B648" t="s">
        <v>522</v>
      </c>
      <c r="C648" s="1">
        <v>35633</v>
      </c>
      <c r="D648" s="1" t="str">
        <f t="shared" si="30"/>
        <v>jul</v>
      </c>
      <c r="E648" s="1" t="str">
        <f t="shared" si="31"/>
        <v>1997</v>
      </c>
      <c r="F648" s="1">
        <v>35661</v>
      </c>
      <c r="G648" s="1">
        <v>35636</v>
      </c>
      <c r="H648">
        <v>1</v>
      </c>
      <c r="I648" t="str">
        <f t="shared" si="32"/>
        <v>UPS</v>
      </c>
      <c r="J648">
        <v>200.24</v>
      </c>
      <c r="K648" t="s">
        <v>20</v>
      </c>
      <c r="L648" t="s">
        <v>524</v>
      </c>
      <c r="M648" t="s">
        <v>525</v>
      </c>
      <c r="N648" t="s">
        <v>526</v>
      </c>
      <c r="O648" t="s">
        <v>527</v>
      </c>
      <c r="P648" t="s">
        <v>290</v>
      </c>
    </row>
    <row r="649" spans="1:16" x14ac:dyDescent="0.25">
      <c r="A649">
        <v>10612</v>
      </c>
      <c r="B649" t="s">
        <v>522</v>
      </c>
      <c r="C649" s="1">
        <v>35639</v>
      </c>
      <c r="D649" s="1" t="str">
        <f t="shared" si="30"/>
        <v>jul</v>
      </c>
      <c r="E649" s="1" t="str">
        <f t="shared" si="31"/>
        <v>1997</v>
      </c>
      <c r="F649" s="1">
        <v>35667</v>
      </c>
      <c r="G649" s="1">
        <v>35643</v>
      </c>
      <c r="H649">
        <v>2</v>
      </c>
      <c r="I649" t="str">
        <f t="shared" si="32"/>
        <v>USPS</v>
      </c>
      <c r="J649">
        <v>544.08000000000004</v>
      </c>
      <c r="K649" t="s">
        <v>20</v>
      </c>
      <c r="L649" t="s">
        <v>524</v>
      </c>
      <c r="M649" t="s">
        <v>525</v>
      </c>
      <c r="N649" t="s">
        <v>526</v>
      </c>
      <c r="O649" t="s">
        <v>527</v>
      </c>
      <c r="P649" t="s">
        <v>290</v>
      </c>
    </row>
    <row r="650" spans="1:16" x14ac:dyDescent="0.25">
      <c r="A650">
        <v>10627</v>
      </c>
      <c r="B650" t="s">
        <v>522</v>
      </c>
      <c r="C650" s="1">
        <v>35653</v>
      </c>
      <c r="D650" s="1" t="str">
        <f t="shared" si="30"/>
        <v>ago</v>
      </c>
      <c r="E650" s="1" t="str">
        <f t="shared" si="31"/>
        <v>1997</v>
      </c>
      <c r="F650" s="1">
        <v>35695</v>
      </c>
      <c r="G650" s="1">
        <v>35663</v>
      </c>
      <c r="H650">
        <v>3</v>
      </c>
      <c r="I650" t="str">
        <f t="shared" si="32"/>
        <v>DHL</v>
      </c>
      <c r="J650">
        <v>107.46</v>
      </c>
      <c r="K650" t="s">
        <v>20</v>
      </c>
      <c r="L650" t="s">
        <v>524</v>
      </c>
      <c r="M650" t="s">
        <v>525</v>
      </c>
      <c r="N650" t="s">
        <v>526</v>
      </c>
      <c r="O650" t="s">
        <v>527</v>
      </c>
      <c r="P650" t="s">
        <v>290</v>
      </c>
    </row>
    <row r="651" spans="1:16" x14ac:dyDescent="0.25">
      <c r="A651">
        <v>10657</v>
      </c>
      <c r="B651" t="s">
        <v>522</v>
      </c>
      <c r="C651" s="1">
        <v>35677</v>
      </c>
      <c r="D651" s="1" t="str">
        <f t="shared" si="30"/>
        <v>set</v>
      </c>
      <c r="E651" s="1" t="str">
        <f t="shared" si="31"/>
        <v>1997</v>
      </c>
      <c r="F651" s="1">
        <v>35705</v>
      </c>
      <c r="G651" s="1">
        <v>35688</v>
      </c>
      <c r="H651">
        <v>2</v>
      </c>
      <c r="I651" t="str">
        <f t="shared" si="32"/>
        <v>USPS</v>
      </c>
      <c r="J651">
        <v>352.69</v>
      </c>
      <c r="K651" t="s">
        <v>20</v>
      </c>
      <c r="L651" t="s">
        <v>524</v>
      </c>
      <c r="M651" t="s">
        <v>525</v>
      </c>
      <c r="N651" t="s">
        <v>526</v>
      </c>
      <c r="O651" t="s">
        <v>527</v>
      </c>
      <c r="P651" t="s">
        <v>290</v>
      </c>
    </row>
    <row r="652" spans="1:16" x14ac:dyDescent="0.25">
      <c r="A652">
        <v>10678</v>
      </c>
      <c r="B652" t="s">
        <v>522</v>
      </c>
      <c r="C652" s="1">
        <v>35696</v>
      </c>
      <c r="D652" s="1" t="str">
        <f t="shared" si="30"/>
        <v>set</v>
      </c>
      <c r="E652" s="1" t="str">
        <f t="shared" si="31"/>
        <v>1997</v>
      </c>
      <c r="F652" s="1">
        <v>35724</v>
      </c>
      <c r="G652" s="1">
        <v>35719</v>
      </c>
      <c r="H652">
        <v>3</v>
      </c>
      <c r="I652" t="str">
        <f t="shared" si="32"/>
        <v>DHL</v>
      </c>
      <c r="J652">
        <v>388.98</v>
      </c>
      <c r="K652" t="s">
        <v>20</v>
      </c>
      <c r="L652" t="s">
        <v>524</v>
      </c>
      <c r="M652" t="s">
        <v>525</v>
      </c>
      <c r="N652" t="s">
        <v>526</v>
      </c>
      <c r="O652" t="s">
        <v>527</v>
      </c>
      <c r="P652" t="s">
        <v>290</v>
      </c>
    </row>
    <row r="653" spans="1:16" x14ac:dyDescent="0.25">
      <c r="A653">
        <v>10700</v>
      </c>
      <c r="B653" t="s">
        <v>522</v>
      </c>
      <c r="C653" s="1">
        <v>35713</v>
      </c>
      <c r="D653" s="1" t="str">
        <f t="shared" si="30"/>
        <v>out</v>
      </c>
      <c r="E653" s="1" t="str">
        <f t="shared" si="31"/>
        <v>1997</v>
      </c>
      <c r="F653" s="1">
        <v>35741</v>
      </c>
      <c r="G653" s="1">
        <v>35719</v>
      </c>
      <c r="H653">
        <v>1</v>
      </c>
      <c r="I653" t="str">
        <f t="shared" si="32"/>
        <v>UPS</v>
      </c>
      <c r="J653">
        <v>65.099999999999994</v>
      </c>
      <c r="K653" t="s">
        <v>20</v>
      </c>
      <c r="L653" t="s">
        <v>524</v>
      </c>
      <c r="M653" t="s">
        <v>525</v>
      </c>
      <c r="N653" t="s">
        <v>526</v>
      </c>
      <c r="O653" t="s">
        <v>527</v>
      </c>
      <c r="P653" t="s">
        <v>290</v>
      </c>
    </row>
    <row r="654" spans="1:16" x14ac:dyDescent="0.25">
      <c r="A654">
        <v>10711</v>
      </c>
      <c r="B654" t="s">
        <v>522</v>
      </c>
      <c r="C654" s="1">
        <v>35724</v>
      </c>
      <c r="D654" s="1" t="str">
        <f t="shared" si="30"/>
        <v>out</v>
      </c>
      <c r="E654" s="1" t="str">
        <f t="shared" si="31"/>
        <v>1997</v>
      </c>
      <c r="F654" s="1">
        <v>35766</v>
      </c>
      <c r="G654" s="1">
        <v>35732</v>
      </c>
      <c r="H654">
        <v>2</v>
      </c>
      <c r="I654" t="str">
        <f t="shared" si="32"/>
        <v>USPS</v>
      </c>
      <c r="J654">
        <v>52.41</v>
      </c>
      <c r="K654" t="s">
        <v>20</v>
      </c>
      <c r="L654" t="s">
        <v>524</v>
      </c>
      <c r="M654" t="s">
        <v>525</v>
      </c>
      <c r="N654" t="s">
        <v>526</v>
      </c>
      <c r="O654" t="s">
        <v>527</v>
      </c>
      <c r="P654" t="s">
        <v>290</v>
      </c>
    </row>
    <row r="655" spans="1:16" x14ac:dyDescent="0.25">
      <c r="A655">
        <v>10713</v>
      </c>
      <c r="B655" t="s">
        <v>522</v>
      </c>
      <c r="C655" s="1">
        <v>35725</v>
      </c>
      <c r="D655" s="1" t="str">
        <f t="shared" si="30"/>
        <v>out</v>
      </c>
      <c r="E655" s="1" t="str">
        <f t="shared" si="31"/>
        <v>1997</v>
      </c>
      <c r="F655" s="1">
        <v>35753</v>
      </c>
      <c r="G655" s="1">
        <v>35727</v>
      </c>
      <c r="H655">
        <v>1</v>
      </c>
      <c r="I655" t="str">
        <f t="shared" si="32"/>
        <v>UPS</v>
      </c>
      <c r="J655">
        <v>167.05</v>
      </c>
      <c r="K655" t="s">
        <v>20</v>
      </c>
      <c r="L655" t="s">
        <v>524</v>
      </c>
      <c r="M655" t="s">
        <v>525</v>
      </c>
      <c r="N655" t="s">
        <v>526</v>
      </c>
      <c r="O655" t="s">
        <v>527</v>
      </c>
      <c r="P655" t="s">
        <v>290</v>
      </c>
    </row>
    <row r="656" spans="1:16" x14ac:dyDescent="0.25">
      <c r="A656">
        <v>10714</v>
      </c>
      <c r="B656" t="s">
        <v>522</v>
      </c>
      <c r="C656" s="1">
        <v>35725</v>
      </c>
      <c r="D656" s="1" t="str">
        <f t="shared" si="30"/>
        <v>out</v>
      </c>
      <c r="E656" s="1" t="str">
        <f t="shared" si="31"/>
        <v>1997</v>
      </c>
      <c r="F656" s="1">
        <v>35753</v>
      </c>
      <c r="G656" s="1">
        <v>35730</v>
      </c>
      <c r="H656">
        <v>3</v>
      </c>
      <c r="I656" t="str">
        <f t="shared" si="32"/>
        <v>DHL</v>
      </c>
      <c r="J656">
        <v>24.49</v>
      </c>
      <c r="K656" t="s">
        <v>20</v>
      </c>
      <c r="L656" t="s">
        <v>524</v>
      </c>
      <c r="M656" t="s">
        <v>525</v>
      </c>
      <c r="N656" t="s">
        <v>526</v>
      </c>
      <c r="O656" t="s">
        <v>527</v>
      </c>
      <c r="P656" t="s">
        <v>290</v>
      </c>
    </row>
    <row r="657" spans="1:16" x14ac:dyDescent="0.25">
      <c r="A657">
        <v>10722</v>
      </c>
      <c r="B657" t="s">
        <v>522</v>
      </c>
      <c r="C657" s="1">
        <v>35732</v>
      </c>
      <c r="D657" s="1" t="str">
        <f t="shared" si="30"/>
        <v>out</v>
      </c>
      <c r="E657" s="1" t="str">
        <f t="shared" si="31"/>
        <v>1997</v>
      </c>
      <c r="F657" s="1">
        <v>35774</v>
      </c>
      <c r="G657" s="1">
        <v>35738</v>
      </c>
      <c r="H657">
        <v>1</v>
      </c>
      <c r="I657" t="str">
        <f t="shared" si="32"/>
        <v>UPS</v>
      </c>
      <c r="J657">
        <v>74.58</v>
      </c>
      <c r="K657" t="s">
        <v>20</v>
      </c>
      <c r="L657" t="s">
        <v>524</v>
      </c>
      <c r="M657" t="s">
        <v>525</v>
      </c>
      <c r="N657" t="s">
        <v>526</v>
      </c>
      <c r="O657" t="s">
        <v>527</v>
      </c>
      <c r="P657" t="s">
        <v>290</v>
      </c>
    </row>
    <row r="658" spans="1:16" x14ac:dyDescent="0.25">
      <c r="A658">
        <v>10748</v>
      </c>
      <c r="B658" t="s">
        <v>522</v>
      </c>
      <c r="C658" s="1">
        <v>35754</v>
      </c>
      <c r="D658" s="1" t="str">
        <f t="shared" si="30"/>
        <v>nov</v>
      </c>
      <c r="E658" s="1" t="str">
        <f t="shared" si="31"/>
        <v>1997</v>
      </c>
      <c r="F658" s="1">
        <v>35782</v>
      </c>
      <c r="G658" s="1">
        <v>35762</v>
      </c>
      <c r="H658">
        <v>1</v>
      </c>
      <c r="I658" t="str">
        <f t="shared" si="32"/>
        <v>UPS</v>
      </c>
      <c r="J658">
        <v>232.55</v>
      </c>
      <c r="K658" t="s">
        <v>20</v>
      </c>
      <c r="L658" t="s">
        <v>524</v>
      </c>
      <c r="M658" t="s">
        <v>525</v>
      </c>
      <c r="N658" t="s">
        <v>526</v>
      </c>
      <c r="O658" t="s">
        <v>527</v>
      </c>
      <c r="P658" t="s">
        <v>290</v>
      </c>
    </row>
    <row r="659" spans="1:16" x14ac:dyDescent="0.25">
      <c r="A659">
        <v>10757</v>
      </c>
      <c r="B659" t="s">
        <v>522</v>
      </c>
      <c r="C659" s="1">
        <v>35761</v>
      </c>
      <c r="D659" s="1" t="str">
        <f t="shared" si="30"/>
        <v>nov</v>
      </c>
      <c r="E659" s="1" t="str">
        <f t="shared" si="31"/>
        <v>1997</v>
      </c>
      <c r="F659" s="1">
        <v>35789</v>
      </c>
      <c r="G659" s="1">
        <v>35779</v>
      </c>
      <c r="H659">
        <v>1</v>
      </c>
      <c r="I659" t="str">
        <f t="shared" si="32"/>
        <v>UPS</v>
      </c>
      <c r="J659">
        <v>8.19</v>
      </c>
      <c r="K659" t="s">
        <v>20</v>
      </c>
      <c r="L659" t="s">
        <v>524</v>
      </c>
      <c r="M659" t="s">
        <v>525</v>
      </c>
      <c r="N659" t="s">
        <v>526</v>
      </c>
      <c r="O659" t="s">
        <v>527</v>
      </c>
      <c r="P659" t="s">
        <v>290</v>
      </c>
    </row>
    <row r="660" spans="1:16" x14ac:dyDescent="0.25">
      <c r="A660">
        <v>10815</v>
      </c>
      <c r="B660" t="s">
        <v>522</v>
      </c>
      <c r="C660" s="1">
        <v>35800</v>
      </c>
      <c r="D660" s="1" t="str">
        <f t="shared" si="30"/>
        <v>jan</v>
      </c>
      <c r="E660" s="1" t="str">
        <f t="shared" si="31"/>
        <v>1998</v>
      </c>
      <c r="F660" s="1">
        <v>35828</v>
      </c>
      <c r="G660" s="1">
        <v>35809</v>
      </c>
      <c r="H660">
        <v>3</v>
      </c>
      <c r="I660" t="str">
        <f t="shared" si="32"/>
        <v>DHL</v>
      </c>
      <c r="J660">
        <v>14.62</v>
      </c>
      <c r="K660" t="s">
        <v>20</v>
      </c>
      <c r="L660" t="s">
        <v>524</v>
      </c>
      <c r="M660" t="s">
        <v>525</v>
      </c>
      <c r="N660" t="s">
        <v>526</v>
      </c>
      <c r="O660" t="s">
        <v>527</v>
      </c>
      <c r="P660" t="s">
        <v>290</v>
      </c>
    </row>
    <row r="661" spans="1:16" x14ac:dyDescent="0.25">
      <c r="A661">
        <v>10847</v>
      </c>
      <c r="B661" t="s">
        <v>522</v>
      </c>
      <c r="C661" s="1">
        <v>35817</v>
      </c>
      <c r="D661" s="1" t="str">
        <f t="shared" si="30"/>
        <v>jan</v>
      </c>
      <c r="E661" s="1" t="str">
        <f t="shared" si="31"/>
        <v>1998</v>
      </c>
      <c r="F661" s="1">
        <v>35831</v>
      </c>
      <c r="G661" s="1">
        <v>35836</v>
      </c>
      <c r="H661">
        <v>3</v>
      </c>
      <c r="I661" t="str">
        <f t="shared" si="32"/>
        <v>DHL</v>
      </c>
      <c r="J661">
        <v>487.57</v>
      </c>
      <c r="K661" t="s">
        <v>20</v>
      </c>
      <c r="L661" t="s">
        <v>524</v>
      </c>
      <c r="M661" t="s">
        <v>525</v>
      </c>
      <c r="N661" t="s">
        <v>526</v>
      </c>
      <c r="O661" t="s">
        <v>527</v>
      </c>
      <c r="P661" t="s">
        <v>290</v>
      </c>
    </row>
    <row r="662" spans="1:16" x14ac:dyDescent="0.25">
      <c r="A662">
        <v>10882</v>
      </c>
      <c r="B662" t="s">
        <v>522</v>
      </c>
      <c r="C662" s="1">
        <v>35837</v>
      </c>
      <c r="D662" s="1" t="str">
        <f t="shared" si="30"/>
        <v>fev</v>
      </c>
      <c r="E662" s="1" t="str">
        <f t="shared" si="31"/>
        <v>1998</v>
      </c>
      <c r="F662" s="1">
        <v>35865</v>
      </c>
      <c r="G662" s="1">
        <v>35846</v>
      </c>
      <c r="H662">
        <v>3</v>
      </c>
      <c r="I662" t="str">
        <f t="shared" si="32"/>
        <v>DHL</v>
      </c>
      <c r="J662">
        <v>23.1</v>
      </c>
      <c r="K662" t="s">
        <v>20</v>
      </c>
      <c r="L662" t="s">
        <v>524</v>
      </c>
      <c r="M662" t="s">
        <v>525</v>
      </c>
      <c r="N662" t="s">
        <v>526</v>
      </c>
      <c r="O662" t="s">
        <v>527</v>
      </c>
      <c r="P662" t="s">
        <v>290</v>
      </c>
    </row>
    <row r="663" spans="1:16" x14ac:dyDescent="0.25">
      <c r="A663">
        <v>10894</v>
      </c>
      <c r="B663" t="s">
        <v>522</v>
      </c>
      <c r="C663" s="1">
        <v>35844</v>
      </c>
      <c r="D663" s="1" t="str">
        <f t="shared" si="30"/>
        <v>fev</v>
      </c>
      <c r="E663" s="1" t="str">
        <f t="shared" si="31"/>
        <v>1998</v>
      </c>
      <c r="F663" s="1">
        <v>35872</v>
      </c>
      <c r="G663" s="1">
        <v>35846</v>
      </c>
      <c r="H663">
        <v>1</v>
      </c>
      <c r="I663" t="str">
        <f t="shared" si="32"/>
        <v>UPS</v>
      </c>
      <c r="J663">
        <v>116.13</v>
      </c>
      <c r="K663" t="s">
        <v>20</v>
      </c>
      <c r="L663" t="s">
        <v>524</v>
      </c>
      <c r="M663" t="s">
        <v>525</v>
      </c>
      <c r="N663" t="s">
        <v>526</v>
      </c>
      <c r="O663" t="s">
        <v>527</v>
      </c>
      <c r="P663" t="s">
        <v>290</v>
      </c>
    </row>
    <row r="664" spans="1:16" x14ac:dyDescent="0.25">
      <c r="A664">
        <v>10941</v>
      </c>
      <c r="B664" t="s">
        <v>522</v>
      </c>
      <c r="C664" s="1">
        <v>35865</v>
      </c>
      <c r="D664" s="1" t="str">
        <f t="shared" si="30"/>
        <v>mar</v>
      </c>
      <c r="E664" s="1" t="str">
        <f t="shared" si="31"/>
        <v>1998</v>
      </c>
      <c r="F664" s="1">
        <v>35893</v>
      </c>
      <c r="G664" s="1">
        <v>35874</v>
      </c>
      <c r="H664">
        <v>2</v>
      </c>
      <c r="I664" t="str">
        <f t="shared" si="32"/>
        <v>USPS</v>
      </c>
      <c r="J664">
        <v>400.81</v>
      </c>
      <c r="K664" t="s">
        <v>20</v>
      </c>
      <c r="L664" t="s">
        <v>524</v>
      </c>
      <c r="M664" t="s">
        <v>525</v>
      </c>
      <c r="N664" t="s">
        <v>526</v>
      </c>
      <c r="O664" t="s">
        <v>527</v>
      </c>
      <c r="P664" t="s">
        <v>290</v>
      </c>
    </row>
    <row r="665" spans="1:16" x14ac:dyDescent="0.25">
      <c r="A665">
        <v>10983</v>
      </c>
      <c r="B665" t="s">
        <v>522</v>
      </c>
      <c r="C665" s="1">
        <v>35881</v>
      </c>
      <c r="D665" s="1" t="str">
        <f t="shared" si="30"/>
        <v>mar</v>
      </c>
      <c r="E665" s="1" t="str">
        <f t="shared" si="31"/>
        <v>1998</v>
      </c>
      <c r="F665" s="1">
        <v>35909</v>
      </c>
      <c r="G665" s="1">
        <v>35891</v>
      </c>
      <c r="H665">
        <v>2</v>
      </c>
      <c r="I665" t="str">
        <f t="shared" si="32"/>
        <v>USPS</v>
      </c>
      <c r="J665">
        <v>657.54</v>
      </c>
      <c r="K665" t="s">
        <v>20</v>
      </c>
      <c r="L665" t="s">
        <v>524</v>
      </c>
      <c r="M665" t="s">
        <v>525</v>
      </c>
      <c r="N665" t="s">
        <v>526</v>
      </c>
      <c r="O665" t="s">
        <v>527</v>
      </c>
      <c r="P665" t="s">
        <v>290</v>
      </c>
    </row>
    <row r="666" spans="1:16" x14ac:dyDescent="0.25">
      <c r="A666">
        <v>10984</v>
      </c>
      <c r="B666" t="s">
        <v>522</v>
      </c>
      <c r="C666" s="1">
        <v>35884</v>
      </c>
      <c r="D666" s="1" t="str">
        <f t="shared" si="30"/>
        <v>mar</v>
      </c>
      <c r="E666" s="1" t="str">
        <f t="shared" si="31"/>
        <v>1998</v>
      </c>
      <c r="F666" s="1">
        <v>35912</v>
      </c>
      <c r="G666" s="1">
        <v>35888</v>
      </c>
      <c r="H666">
        <v>3</v>
      </c>
      <c r="I666" t="str">
        <f t="shared" si="32"/>
        <v>DHL</v>
      </c>
      <c r="J666">
        <v>211.22</v>
      </c>
      <c r="K666" t="s">
        <v>20</v>
      </c>
      <c r="L666" t="s">
        <v>524</v>
      </c>
      <c r="M666" t="s">
        <v>525</v>
      </c>
      <c r="N666" t="s">
        <v>526</v>
      </c>
      <c r="O666" t="s">
        <v>527</v>
      </c>
      <c r="P666" t="s">
        <v>290</v>
      </c>
    </row>
    <row r="667" spans="1:16" x14ac:dyDescent="0.25">
      <c r="A667">
        <v>11002</v>
      </c>
      <c r="B667" t="s">
        <v>522</v>
      </c>
      <c r="C667" s="1">
        <v>35891</v>
      </c>
      <c r="D667" s="1" t="str">
        <f t="shared" si="30"/>
        <v>abr</v>
      </c>
      <c r="E667" s="1" t="str">
        <f t="shared" si="31"/>
        <v>1998</v>
      </c>
      <c r="F667" s="1">
        <v>35919</v>
      </c>
      <c r="G667" s="1">
        <v>35901</v>
      </c>
      <c r="H667">
        <v>1</v>
      </c>
      <c r="I667" t="str">
        <f t="shared" si="32"/>
        <v>UPS</v>
      </c>
      <c r="J667">
        <v>141.16</v>
      </c>
      <c r="K667" t="s">
        <v>20</v>
      </c>
      <c r="L667" t="s">
        <v>524</v>
      </c>
      <c r="M667" t="s">
        <v>525</v>
      </c>
      <c r="N667" t="s">
        <v>526</v>
      </c>
      <c r="O667" t="s">
        <v>527</v>
      </c>
      <c r="P667" t="s">
        <v>290</v>
      </c>
    </row>
    <row r="668" spans="1:16" x14ac:dyDescent="0.25">
      <c r="A668">
        <v>11030</v>
      </c>
      <c r="B668" t="s">
        <v>522</v>
      </c>
      <c r="C668" s="1">
        <v>35902</v>
      </c>
      <c r="D668" s="1" t="str">
        <f t="shared" si="30"/>
        <v>abr</v>
      </c>
      <c r="E668" s="1" t="str">
        <f t="shared" si="31"/>
        <v>1998</v>
      </c>
      <c r="F668" s="1">
        <v>35930</v>
      </c>
      <c r="G668" s="1">
        <v>35912</v>
      </c>
      <c r="H668">
        <v>2</v>
      </c>
      <c r="I668" t="str">
        <f t="shared" si="32"/>
        <v>USPS</v>
      </c>
      <c r="J668">
        <v>830.75</v>
      </c>
      <c r="K668" t="s">
        <v>20</v>
      </c>
      <c r="L668" t="s">
        <v>524</v>
      </c>
      <c r="M668" t="s">
        <v>525</v>
      </c>
      <c r="N668" t="s">
        <v>526</v>
      </c>
      <c r="O668" t="s">
        <v>527</v>
      </c>
      <c r="P668" t="s">
        <v>290</v>
      </c>
    </row>
    <row r="669" spans="1:16" x14ac:dyDescent="0.25">
      <c r="A669">
        <v>11031</v>
      </c>
      <c r="B669" t="s">
        <v>522</v>
      </c>
      <c r="C669" s="1">
        <v>35902</v>
      </c>
      <c r="D669" s="1" t="str">
        <f t="shared" si="30"/>
        <v>abr</v>
      </c>
      <c r="E669" s="1" t="str">
        <f t="shared" si="31"/>
        <v>1998</v>
      </c>
      <c r="F669" s="1">
        <v>35930</v>
      </c>
      <c r="G669" s="1">
        <v>35909</v>
      </c>
      <c r="H669">
        <v>2</v>
      </c>
      <c r="I669" t="str">
        <f t="shared" si="32"/>
        <v>USPS</v>
      </c>
      <c r="J669">
        <v>227.22</v>
      </c>
      <c r="K669" t="s">
        <v>20</v>
      </c>
      <c r="L669" t="s">
        <v>524</v>
      </c>
      <c r="M669" t="s">
        <v>525</v>
      </c>
      <c r="N669" t="s">
        <v>526</v>
      </c>
      <c r="O669" t="s">
        <v>527</v>
      </c>
      <c r="P669" t="s">
        <v>290</v>
      </c>
    </row>
    <row r="670" spans="1:16" x14ac:dyDescent="0.25">
      <c r="A670">
        <v>11064</v>
      </c>
      <c r="B670" t="s">
        <v>522</v>
      </c>
      <c r="C670" s="1">
        <v>35916</v>
      </c>
      <c r="D670" s="1" t="str">
        <f t="shared" si="30"/>
        <v>mai</v>
      </c>
      <c r="E670" s="1" t="str">
        <f t="shared" si="31"/>
        <v>1998</v>
      </c>
      <c r="F670" s="1">
        <v>35944</v>
      </c>
      <c r="G670" s="1">
        <v>35919</v>
      </c>
      <c r="H670">
        <v>1</v>
      </c>
      <c r="I670" t="str">
        <f t="shared" si="32"/>
        <v>UPS</v>
      </c>
      <c r="J670">
        <v>30.09</v>
      </c>
      <c r="K670" t="s">
        <v>20</v>
      </c>
      <c r="L670" t="s">
        <v>524</v>
      </c>
      <c r="M670" t="s">
        <v>525</v>
      </c>
      <c r="N670" t="s">
        <v>526</v>
      </c>
      <c r="O670" t="s">
        <v>527</v>
      </c>
      <c r="P670" t="s">
        <v>290</v>
      </c>
    </row>
    <row r="671" spans="1:16" x14ac:dyDescent="0.25">
      <c r="A671">
        <v>10359</v>
      </c>
      <c r="B671" t="s">
        <v>529</v>
      </c>
      <c r="C671" s="1">
        <v>35390</v>
      </c>
      <c r="D671" s="1" t="str">
        <f t="shared" si="30"/>
        <v>nov</v>
      </c>
      <c r="E671" s="1" t="str">
        <f t="shared" si="31"/>
        <v>1996</v>
      </c>
      <c r="F671" s="1">
        <v>35418</v>
      </c>
      <c r="G671" s="1">
        <v>35395</v>
      </c>
      <c r="H671">
        <v>3</v>
      </c>
      <c r="I671" t="str">
        <f t="shared" si="32"/>
        <v>DHL</v>
      </c>
      <c r="J671">
        <v>288.43</v>
      </c>
      <c r="K671" t="s">
        <v>19</v>
      </c>
      <c r="L671" t="s">
        <v>531</v>
      </c>
      <c r="M671" t="s">
        <v>111</v>
      </c>
      <c r="O671" t="s">
        <v>532</v>
      </c>
      <c r="P671" t="s">
        <v>113</v>
      </c>
    </row>
    <row r="672" spans="1:16" x14ac:dyDescent="0.25">
      <c r="A672">
        <v>10377</v>
      </c>
      <c r="B672" t="s">
        <v>529</v>
      </c>
      <c r="C672" s="1">
        <v>35408</v>
      </c>
      <c r="D672" s="1" t="str">
        <f t="shared" si="30"/>
        <v>dez</v>
      </c>
      <c r="E672" s="1" t="str">
        <f t="shared" si="31"/>
        <v>1996</v>
      </c>
      <c r="F672" s="1">
        <v>35436</v>
      </c>
      <c r="G672" s="1">
        <v>35412</v>
      </c>
      <c r="H672">
        <v>3</v>
      </c>
      <c r="I672" t="str">
        <f t="shared" si="32"/>
        <v>DHL</v>
      </c>
      <c r="J672">
        <v>22.21</v>
      </c>
      <c r="K672" t="s">
        <v>19</v>
      </c>
      <c r="L672" t="s">
        <v>531</v>
      </c>
      <c r="M672" t="s">
        <v>111</v>
      </c>
      <c r="O672" t="s">
        <v>532</v>
      </c>
      <c r="P672" t="s">
        <v>113</v>
      </c>
    </row>
    <row r="673" spans="1:16" x14ac:dyDescent="0.25">
      <c r="A673">
        <v>10388</v>
      </c>
      <c r="B673" t="s">
        <v>529</v>
      </c>
      <c r="C673" s="1">
        <v>35418</v>
      </c>
      <c r="D673" s="1" t="str">
        <f t="shared" si="30"/>
        <v>dez</v>
      </c>
      <c r="E673" s="1" t="str">
        <f t="shared" si="31"/>
        <v>1996</v>
      </c>
      <c r="F673" s="1">
        <v>35446</v>
      </c>
      <c r="G673" s="1">
        <v>35419</v>
      </c>
      <c r="H673">
        <v>1</v>
      </c>
      <c r="I673" t="str">
        <f t="shared" si="32"/>
        <v>UPS</v>
      </c>
      <c r="J673">
        <v>34.86</v>
      </c>
      <c r="K673" t="s">
        <v>19</v>
      </c>
      <c r="L673" t="s">
        <v>531</v>
      </c>
      <c r="M673" t="s">
        <v>111</v>
      </c>
      <c r="O673" t="s">
        <v>532</v>
      </c>
      <c r="P673" t="s">
        <v>113</v>
      </c>
    </row>
    <row r="674" spans="1:16" x14ac:dyDescent="0.25">
      <c r="A674">
        <v>10472</v>
      </c>
      <c r="B674" t="s">
        <v>529</v>
      </c>
      <c r="C674" s="1">
        <v>35501</v>
      </c>
      <c r="D674" s="1" t="str">
        <f t="shared" si="30"/>
        <v>mar</v>
      </c>
      <c r="E674" s="1" t="str">
        <f t="shared" si="31"/>
        <v>1997</v>
      </c>
      <c r="F674" s="1">
        <v>35529</v>
      </c>
      <c r="G674" s="1">
        <v>35508</v>
      </c>
      <c r="H674">
        <v>1</v>
      </c>
      <c r="I674" t="str">
        <f t="shared" si="32"/>
        <v>UPS</v>
      </c>
      <c r="J674">
        <v>4.2</v>
      </c>
      <c r="K674" t="s">
        <v>19</v>
      </c>
      <c r="L674" t="s">
        <v>531</v>
      </c>
      <c r="M674" t="s">
        <v>111</v>
      </c>
      <c r="O674" t="s">
        <v>532</v>
      </c>
      <c r="P674" t="s">
        <v>113</v>
      </c>
    </row>
    <row r="675" spans="1:16" x14ac:dyDescent="0.25">
      <c r="A675">
        <v>10523</v>
      </c>
      <c r="B675" t="s">
        <v>529</v>
      </c>
      <c r="C675" s="1">
        <v>35551</v>
      </c>
      <c r="D675" s="1" t="str">
        <f t="shared" si="30"/>
        <v>mai</v>
      </c>
      <c r="E675" s="1" t="str">
        <f t="shared" si="31"/>
        <v>1997</v>
      </c>
      <c r="F675" s="1">
        <v>35579</v>
      </c>
      <c r="G675" s="1">
        <v>35580</v>
      </c>
      <c r="H675">
        <v>2</v>
      </c>
      <c r="I675" t="str">
        <f t="shared" si="32"/>
        <v>USPS</v>
      </c>
      <c r="J675">
        <v>77.63</v>
      </c>
      <c r="K675" t="s">
        <v>19</v>
      </c>
      <c r="L675" t="s">
        <v>531</v>
      </c>
      <c r="M675" t="s">
        <v>111</v>
      </c>
      <c r="O675" t="s">
        <v>532</v>
      </c>
      <c r="P675" t="s">
        <v>113</v>
      </c>
    </row>
    <row r="676" spans="1:16" x14ac:dyDescent="0.25">
      <c r="A676">
        <v>10547</v>
      </c>
      <c r="B676" t="s">
        <v>529</v>
      </c>
      <c r="C676" s="1">
        <v>35573</v>
      </c>
      <c r="D676" s="1" t="str">
        <f t="shared" si="30"/>
        <v>mai</v>
      </c>
      <c r="E676" s="1" t="str">
        <f t="shared" si="31"/>
        <v>1997</v>
      </c>
      <c r="F676" s="1">
        <v>35601</v>
      </c>
      <c r="G676" s="1">
        <v>35583</v>
      </c>
      <c r="H676">
        <v>2</v>
      </c>
      <c r="I676" t="str">
        <f t="shared" si="32"/>
        <v>USPS</v>
      </c>
      <c r="J676">
        <v>178.43</v>
      </c>
      <c r="K676" t="s">
        <v>19</v>
      </c>
      <c r="L676" t="s">
        <v>531</v>
      </c>
      <c r="M676" t="s">
        <v>111</v>
      </c>
      <c r="O676" t="s">
        <v>532</v>
      </c>
      <c r="P676" t="s">
        <v>113</v>
      </c>
    </row>
    <row r="677" spans="1:16" x14ac:dyDescent="0.25">
      <c r="A677">
        <v>10800</v>
      </c>
      <c r="B677" t="s">
        <v>529</v>
      </c>
      <c r="C677" s="1">
        <v>35790</v>
      </c>
      <c r="D677" s="1" t="str">
        <f t="shared" si="30"/>
        <v>dez</v>
      </c>
      <c r="E677" s="1" t="str">
        <f t="shared" si="31"/>
        <v>1997</v>
      </c>
      <c r="F677" s="1">
        <v>35818</v>
      </c>
      <c r="G677" s="1">
        <v>35800</v>
      </c>
      <c r="H677">
        <v>3</v>
      </c>
      <c r="I677" t="str">
        <f t="shared" si="32"/>
        <v>DHL</v>
      </c>
      <c r="J677">
        <v>137.44</v>
      </c>
      <c r="K677" t="s">
        <v>19</v>
      </c>
      <c r="L677" t="s">
        <v>531</v>
      </c>
      <c r="M677" t="s">
        <v>111</v>
      </c>
      <c r="O677" t="s">
        <v>532</v>
      </c>
      <c r="P677" t="s">
        <v>113</v>
      </c>
    </row>
    <row r="678" spans="1:16" x14ac:dyDescent="0.25">
      <c r="A678">
        <v>10804</v>
      </c>
      <c r="B678" t="s">
        <v>529</v>
      </c>
      <c r="C678" s="1">
        <v>35794</v>
      </c>
      <c r="D678" s="1" t="str">
        <f t="shared" si="30"/>
        <v>dez</v>
      </c>
      <c r="E678" s="1" t="str">
        <f t="shared" si="31"/>
        <v>1997</v>
      </c>
      <c r="F678" s="1">
        <v>35822</v>
      </c>
      <c r="G678" s="1">
        <v>35802</v>
      </c>
      <c r="H678">
        <v>2</v>
      </c>
      <c r="I678" t="str">
        <f t="shared" si="32"/>
        <v>USPS</v>
      </c>
      <c r="J678">
        <v>27.33</v>
      </c>
      <c r="K678" t="s">
        <v>19</v>
      </c>
      <c r="L678" t="s">
        <v>531</v>
      </c>
      <c r="M678" t="s">
        <v>111</v>
      </c>
      <c r="O678" t="s">
        <v>532</v>
      </c>
      <c r="P678" t="s">
        <v>113</v>
      </c>
    </row>
    <row r="679" spans="1:16" x14ac:dyDescent="0.25">
      <c r="A679">
        <v>10869</v>
      </c>
      <c r="B679" t="s">
        <v>529</v>
      </c>
      <c r="C679" s="1">
        <v>35830</v>
      </c>
      <c r="D679" s="1" t="str">
        <f t="shared" si="30"/>
        <v>fev</v>
      </c>
      <c r="E679" s="1" t="str">
        <f t="shared" si="31"/>
        <v>1998</v>
      </c>
      <c r="F679" s="1">
        <v>35858</v>
      </c>
      <c r="G679" s="1">
        <v>35835</v>
      </c>
      <c r="H679">
        <v>1</v>
      </c>
      <c r="I679" t="str">
        <f t="shared" si="32"/>
        <v>UPS</v>
      </c>
      <c r="J679">
        <v>143.28</v>
      </c>
      <c r="K679" t="s">
        <v>19</v>
      </c>
      <c r="L679" t="s">
        <v>531</v>
      </c>
      <c r="M679" t="s">
        <v>111</v>
      </c>
      <c r="O679" t="s">
        <v>532</v>
      </c>
      <c r="P679" t="s">
        <v>113</v>
      </c>
    </row>
    <row r="680" spans="1:16" x14ac:dyDescent="0.25">
      <c r="A680">
        <v>10341</v>
      </c>
      <c r="B680" t="s">
        <v>534</v>
      </c>
      <c r="C680" s="1">
        <v>35367</v>
      </c>
      <c r="D680" s="1" t="str">
        <f t="shared" si="30"/>
        <v>out</v>
      </c>
      <c r="E680" s="1" t="str">
        <f t="shared" si="31"/>
        <v>1996</v>
      </c>
      <c r="F680" s="1">
        <v>35395</v>
      </c>
      <c r="G680" s="1">
        <v>35374</v>
      </c>
      <c r="H680">
        <v>3</v>
      </c>
      <c r="I680" t="str">
        <f t="shared" si="32"/>
        <v>DHL</v>
      </c>
      <c r="J680">
        <v>26.78</v>
      </c>
      <c r="K680" t="s">
        <v>18</v>
      </c>
      <c r="L680" t="s">
        <v>536</v>
      </c>
      <c r="M680" t="s">
        <v>537</v>
      </c>
      <c r="O680" t="s">
        <v>538</v>
      </c>
      <c r="P680" t="s">
        <v>539</v>
      </c>
    </row>
    <row r="681" spans="1:16" x14ac:dyDescent="0.25">
      <c r="A681">
        <v>10417</v>
      </c>
      <c r="B681" t="s">
        <v>534</v>
      </c>
      <c r="C681" s="1">
        <v>35446</v>
      </c>
      <c r="D681" s="1" t="str">
        <f t="shared" si="30"/>
        <v>jan</v>
      </c>
      <c r="E681" s="1" t="str">
        <f t="shared" si="31"/>
        <v>1997</v>
      </c>
      <c r="F681" s="1">
        <v>35474</v>
      </c>
      <c r="G681" s="1">
        <v>35458</v>
      </c>
      <c r="H681">
        <v>3</v>
      </c>
      <c r="I681" t="str">
        <f t="shared" si="32"/>
        <v>DHL</v>
      </c>
      <c r="J681">
        <v>70.290000000000006</v>
      </c>
      <c r="K681" t="s">
        <v>18</v>
      </c>
      <c r="L681" t="s">
        <v>536</v>
      </c>
      <c r="M681" t="s">
        <v>537</v>
      </c>
      <c r="O681" t="s">
        <v>538</v>
      </c>
      <c r="P681" t="s">
        <v>539</v>
      </c>
    </row>
    <row r="682" spans="1:16" x14ac:dyDescent="0.25">
      <c r="A682">
        <v>10556</v>
      </c>
      <c r="B682" t="s">
        <v>534</v>
      </c>
      <c r="C682" s="1">
        <v>35584</v>
      </c>
      <c r="D682" s="1" t="str">
        <f t="shared" si="30"/>
        <v>jun</v>
      </c>
      <c r="E682" s="1" t="str">
        <f t="shared" si="31"/>
        <v>1997</v>
      </c>
      <c r="F682" s="1">
        <v>35626</v>
      </c>
      <c r="G682" s="1">
        <v>35594</v>
      </c>
      <c r="H682">
        <v>1</v>
      </c>
      <c r="I682" t="str">
        <f t="shared" si="32"/>
        <v>UPS</v>
      </c>
      <c r="J682">
        <v>9.8000000000000007</v>
      </c>
      <c r="K682" t="s">
        <v>18</v>
      </c>
      <c r="L682" t="s">
        <v>536</v>
      </c>
      <c r="M682" t="s">
        <v>537</v>
      </c>
      <c r="O682" t="s">
        <v>538</v>
      </c>
      <c r="P682" t="s">
        <v>539</v>
      </c>
    </row>
    <row r="683" spans="1:16" x14ac:dyDescent="0.25">
      <c r="A683">
        <v>10642</v>
      </c>
      <c r="B683" t="s">
        <v>534</v>
      </c>
      <c r="C683" s="1">
        <v>35664</v>
      </c>
      <c r="D683" s="1" t="str">
        <f t="shared" si="30"/>
        <v>ago</v>
      </c>
      <c r="E683" s="1" t="str">
        <f t="shared" si="31"/>
        <v>1997</v>
      </c>
      <c r="F683" s="1">
        <v>35692</v>
      </c>
      <c r="G683" s="1">
        <v>35678</v>
      </c>
      <c r="H683">
        <v>3</v>
      </c>
      <c r="I683" t="str">
        <f t="shared" si="32"/>
        <v>DHL</v>
      </c>
      <c r="J683">
        <v>41.89</v>
      </c>
      <c r="K683" t="s">
        <v>18</v>
      </c>
      <c r="L683" t="s">
        <v>536</v>
      </c>
      <c r="M683" t="s">
        <v>537</v>
      </c>
      <c r="O683" t="s">
        <v>538</v>
      </c>
      <c r="P683" t="s">
        <v>539</v>
      </c>
    </row>
    <row r="684" spans="1:16" x14ac:dyDescent="0.25">
      <c r="A684">
        <v>10669</v>
      </c>
      <c r="B684" t="s">
        <v>534</v>
      </c>
      <c r="C684" s="1">
        <v>35688</v>
      </c>
      <c r="D684" s="1" t="str">
        <f t="shared" si="30"/>
        <v>set</v>
      </c>
      <c r="E684" s="1" t="str">
        <f t="shared" si="31"/>
        <v>1997</v>
      </c>
      <c r="F684" s="1">
        <v>35716</v>
      </c>
      <c r="G684" s="1">
        <v>35695</v>
      </c>
      <c r="H684">
        <v>1</v>
      </c>
      <c r="I684" t="str">
        <f t="shared" si="32"/>
        <v>UPS</v>
      </c>
      <c r="J684">
        <v>24.39</v>
      </c>
      <c r="K684" t="s">
        <v>18</v>
      </c>
      <c r="L684" t="s">
        <v>536</v>
      </c>
      <c r="M684" t="s">
        <v>537</v>
      </c>
      <c r="O684" t="s">
        <v>538</v>
      </c>
      <c r="P684" t="s">
        <v>539</v>
      </c>
    </row>
    <row r="685" spans="1:16" x14ac:dyDescent="0.25">
      <c r="A685">
        <v>10802</v>
      </c>
      <c r="B685" t="s">
        <v>534</v>
      </c>
      <c r="C685" s="1">
        <v>35793</v>
      </c>
      <c r="D685" s="1" t="str">
        <f t="shared" si="30"/>
        <v>dez</v>
      </c>
      <c r="E685" s="1" t="str">
        <f t="shared" si="31"/>
        <v>1997</v>
      </c>
      <c r="F685" s="1">
        <v>35821</v>
      </c>
      <c r="G685" s="1">
        <v>35797</v>
      </c>
      <c r="H685">
        <v>2</v>
      </c>
      <c r="I685" t="str">
        <f t="shared" si="32"/>
        <v>USPS</v>
      </c>
      <c r="J685">
        <v>257.26</v>
      </c>
      <c r="K685" t="s">
        <v>18</v>
      </c>
      <c r="L685" t="s">
        <v>536</v>
      </c>
      <c r="M685" t="s">
        <v>537</v>
      </c>
      <c r="O685" t="s">
        <v>538</v>
      </c>
      <c r="P685" t="s">
        <v>539</v>
      </c>
    </row>
    <row r="686" spans="1:16" x14ac:dyDescent="0.25">
      <c r="A686">
        <v>11074</v>
      </c>
      <c r="B686" t="s">
        <v>534</v>
      </c>
      <c r="C686" s="1">
        <v>35921</v>
      </c>
      <c r="D686" s="1" t="str">
        <f t="shared" si="30"/>
        <v>mai</v>
      </c>
      <c r="E686" s="1" t="str">
        <f t="shared" si="31"/>
        <v>1998</v>
      </c>
      <c r="F686" s="1">
        <v>35949</v>
      </c>
      <c r="G686" s="1"/>
      <c r="H686">
        <v>2</v>
      </c>
      <c r="I686" t="str">
        <f t="shared" si="32"/>
        <v>USPS</v>
      </c>
      <c r="J686">
        <v>18.440000000000001</v>
      </c>
      <c r="K686" t="s">
        <v>18</v>
      </c>
      <c r="L686" t="s">
        <v>536</v>
      </c>
      <c r="M686" t="s">
        <v>537</v>
      </c>
      <c r="O686" t="s">
        <v>538</v>
      </c>
      <c r="P686" t="s">
        <v>539</v>
      </c>
    </row>
    <row r="687" spans="1:16" x14ac:dyDescent="0.25">
      <c r="A687">
        <v>10738</v>
      </c>
      <c r="B687" t="s">
        <v>541</v>
      </c>
      <c r="C687" s="1">
        <v>35746</v>
      </c>
      <c r="D687" s="1" t="str">
        <f t="shared" si="30"/>
        <v>nov</v>
      </c>
      <c r="E687" s="1" t="str">
        <f t="shared" si="31"/>
        <v>1997</v>
      </c>
      <c r="F687" s="1">
        <v>35774</v>
      </c>
      <c r="G687" s="1">
        <v>35752</v>
      </c>
      <c r="H687">
        <v>1</v>
      </c>
      <c r="I687" t="str">
        <f t="shared" si="32"/>
        <v>UPS</v>
      </c>
      <c r="J687">
        <v>2.91</v>
      </c>
      <c r="K687" t="s">
        <v>17</v>
      </c>
      <c r="L687" t="s">
        <v>543</v>
      </c>
      <c r="M687" t="s">
        <v>447</v>
      </c>
      <c r="O687" t="s">
        <v>544</v>
      </c>
      <c r="P687" t="s">
        <v>134</v>
      </c>
    </row>
    <row r="688" spans="1:16" x14ac:dyDescent="0.25">
      <c r="A688">
        <v>10907</v>
      </c>
      <c r="B688" t="s">
        <v>541</v>
      </c>
      <c r="C688" s="1">
        <v>35851</v>
      </c>
      <c r="D688" s="1" t="str">
        <f t="shared" si="30"/>
        <v>fev</v>
      </c>
      <c r="E688" s="1" t="str">
        <f t="shared" si="31"/>
        <v>1998</v>
      </c>
      <c r="F688" s="1">
        <v>35879</v>
      </c>
      <c r="G688" s="1">
        <v>35853</v>
      </c>
      <c r="H688">
        <v>3</v>
      </c>
      <c r="I688" t="str">
        <f t="shared" si="32"/>
        <v>DHL</v>
      </c>
      <c r="J688">
        <v>9.19</v>
      </c>
      <c r="K688" t="s">
        <v>17</v>
      </c>
      <c r="L688" t="s">
        <v>543</v>
      </c>
      <c r="M688" t="s">
        <v>447</v>
      </c>
      <c r="O688" t="s">
        <v>544</v>
      </c>
      <c r="P688" t="s">
        <v>134</v>
      </c>
    </row>
    <row r="689" spans="1:16" x14ac:dyDescent="0.25">
      <c r="A689">
        <v>10964</v>
      </c>
      <c r="B689" t="s">
        <v>541</v>
      </c>
      <c r="C689" s="1">
        <v>35874</v>
      </c>
      <c r="D689" s="1" t="str">
        <f t="shared" si="30"/>
        <v>mar</v>
      </c>
      <c r="E689" s="1" t="str">
        <f t="shared" si="31"/>
        <v>1998</v>
      </c>
      <c r="F689" s="1">
        <v>35902</v>
      </c>
      <c r="G689" s="1">
        <v>35878</v>
      </c>
      <c r="H689">
        <v>2</v>
      </c>
      <c r="I689" t="str">
        <f t="shared" si="32"/>
        <v>USPS</v>
      </c>
      <c r="J689">
        <v>87.38</v>
      </c>
      <c r="K689" t="s">
        <v>17</v>
      </c>
      <c r="L689" t="s">
        <v>543</v>
      </c>
      <c r="M689" t="s">
        <v>447</v>
      </c>
      <c r="O689" t="s">
        <v>544</v>
      </c>
      <c r="P689" t="s">
        <v>134</v>
      </c>
    </row>
    <row r="690" spans="1:16" x14ac:dyDescent="0.25">
      <c r="A690">
        <v>11043</v>
      </c>
      <c r="B690" t="s">
        <v>541</v>
      </c>
      <c r="C690" s="1">
        <v>35907</v>
      </c>
      <c r="D690" s="1" t="str">
        <f t="shared" si="30"/>
        <v>abr</v>
      </c>
      <c r="E690" s="1" t="str">
        <f t="shared" si="31"/>
        <v>1998</v>
      </c>
      <c r="F690" s="1">
        <v>35935</v>
      </c>
      <c r="G690" s="1">
        <v>35914</v>
      </c>
      <c r="H690">
        <v>2</v>
      </c>
      <c r="I690" t="str">
        <f t="shared" si="32"/>
        <v>USPS</v>
      </c>
      <c r="J690">
        <v>8.8000000000000007</v>
      </c>
      <c r="K690" t="s">
        <v>17</v>
      </c>
      <c r="L690" t="s">
        <v>543</v>
      </c>
      <c r="M690" t="s">
        <v>447</v>
      </c>
      <c r="O690" t="s">
        <v>544</v>
      </c>
      <c r="P690" t="s">
        <v>134</v>
      </c>
    </row>
    <row r="691" spans="1:16" x14ac:dyDescent="0.25">
      <c r="A691">
        <v>10271</v>
      </c>
      <c r="B691" t="s">
        <v>546</v>
      </c>
      <c r="C691" s="1">
        <v>35278</v>
      </c>
      <c r="D691" s="1" t="str">
        <f t="shared" si="30"/>
        <v>ago</v>
      </c>
      <c r="E691" s="1" t="str">
        <f t="shared" si="31"/>
        <v>1996</v>
      </c>
      <c r="F691" s="1">
        <v>35306</v>
      </c>
      <c r="G691" s="1">
        <v>35307</v>
      </c>
      <c r="H691">
        <v>2</v>
      </c>
      <c r="I691" t="str">
        <f t="shared" si="32"/>
        <v>USPS</v>
      </c>
      <c r="J691">
        <v>4.54</v>
      </c>
      <c r="K691" t="s">
        <v>16</v>
      </c>
      <c r="L691" t="s">
        <v>548</v>
      </c>
      <c r="M691" t="s">
        <v>549</v>
      </c>
      <c r="N691" t="s">
        <v>550</v>
      </c>
      <c r="O691" t="s">
        <v>551</v>
      </c>
      <c r="P691" t="s">
        <v>290</v>
      </c>
    </row>
    <row r="692" spans="1:16" x14ac:dyDescent="0.25">
      <c r="A692">
        <v>10329</v>
      </c>
      <c r="B692" t="s">
        <v>546</v>
      </c>
      <c r="C692" s="1">
        <v>35353</v>
      </c>
      <c r="D692" s="1" t="str">
        <f t="shared" si="30"/>
        <v>out</v>
      </c>
      <c r="E692" s="1" t="str">
        <f t="shared" si="31"/>
        <v>1996</v>
      </c>
      <c r="F692" s="1">
        <v>35395</v>
      </c>
      <c r="G692" s="1">
        <v>35361</v>
      </c>
      <c r="H692">
        <v>2</v>
      </c>
      <c r="I692" t="str">
        <f t="shared" si="32"/>
        <v>USPS</v>
      </c>
      <c r="J692">
        <v>191.67</v>
      </c>
      <c r="K692" t="s">
        <v>16</v>
      </c>
      <c r="L692" t="s">
        <v>548</v>
      </c>
      <c r="M692" t="s">
        <v>549</v>
      </c>
      <c r="N692" t="s">
        <v>550</v>
      </c>
      <c r="O692" t="s">
        <v>551</v>
      </c>
      <c r="P692" t="s">
        <v>290</v>
      </c>
    </row>
    <row r="693" spans="1:16" x14ac:dyDescent="0.25">
      <c r="A693">
        <v>10349</v>
      </c>
      <c r="B693" t="s">
        <v>546</v>
      </c>
      <c r="C693" s="1">
        <v>35377</v>
      </c>
      <c r="D693" s="1" t="str">
        <f t="shared" si="30"/>
        <v>nov</v>
      </c>
      <c r="E693" s="1" t="str">
        <f t="shared" si="31"/>
        <v>1996</v>
      </c>
      <c r="F693" s="1">
        <v>35405</v>
      </c>
      <c r="G693" s="1">
        <v>35384</v>
      </c>
      <c r="H693">
        <v>1</v>
      </c>
      <c r="I693" t="str">
        <f t="shared" si="32"/>
        <v>UPS</v>
      </c>
      <c r="J693">
        <v>8.6300000000000008</v>
      </c>
      <c r="K693" t="s">
        <v>16</v>
      </c>
      <c r="L693" t="s">
        <v>548</v>
      </c>
      <c r="M693" t="s">
        <v>549</v>
      </c>
      <c r="N693" t="s">
        <v>550</v>
      </c>
      <c r="O693" t="s">
        <v>551</v>
      </c>
      <c r="P693" t="s">
        <v>290</v>
      </c>
    </row>
    <row r="694" spans="1:16" x14ac:dyDescent="0.25">
      <c r="A694">
        <v>10369</v>
      </c>
      <c r="B694" t="s">
        <v>546</v>
      </c>
      <c r="C694" s="1">
        <v>35401</v>
      </c>
      <c r="D694" s="1" t="str">
        <f t="shared" si="30"/>
        <v>dez</v>
      </c>
      <c r="E694" s="1" t="str">
        <f t="shared" si="31"/>
        <v>1996</v>
      </c>
      <c r="F694" s="1">
        <v>35429</v>
      </c>
      <c r="G694" s="1">
        <v>35408</v>
      </c>
      <c r="H694">
        <v>2</v>
      </c>
      <c r="I694" t="str">
        <f t="shared" si="32"/>
        <v>USPS</v>
      </c>
      <c r="J694">
        <v>195.68</v>
      </c>
      <c r="K694" t="s">
        <v>16</v>
      </c>
      <c r="L694" t="s">
        <v>548</v>
      </c>
      <c r="M694" t="s">
        <v>549</v>
      </c>
      <c r="N694" t="s">
        <v>550</v>
      </c>
      <c r="O694" t="s">
        <v>551</v>
      </c>
      <c r="P694" t="s">
        <v>290</v>
      </c>
    </row>
    <row r="695" spans="1:16" x14ac:dyDescent="0.25">
      <c r="A695">
        <v>10385</v>
      </c>
      <c r="B695" t="s">
        <v>546</v>
      </c>
      <c r="C695" s="1">
        <v>35416</v>
      </c>
      <c r="D695" s="1" t="str">
        <f t="shared" si="30"/>
        <v>dez</v>
      </c>
      <c r="E695" s="1" t="str">
        <f t="shared" si="31"/>
        <v>1996</v>
      </c>
      <c r="F695" s="1">
        <v>35444</v>
      </c>
      <c r="G695" s="1">
        <v>35422</v>
      </c>
      <c r="H695">
        <v>2</v>
      </c>
      <c r="I695" t="str">
        <f t="shared" si="32"/>
        <v>USPS</v>
      </c>
      <c r="J695">
        <v>30.96</v>
      </c>
      <c r="K695" t="s">
        <v>16</v>
      </c>
      <c r="L695" t="s">
        <v>548</v>
      </c>
      <c r="M695" t="s">
        <v>549</v>
      </c>
      <c r="N695" t="s">
        <v>550</v>
      </c>
      <c r="O695" t="s">
        <v>551</v>
      </c>
      <c r="P695" t="s">
        <v>290</v>
      </c>
    </row>
    <row r="696" spans="1:16" x14ac:dyDescent="0.25">
      <c r="A696">
        <v>10432</v>
      </c>
      <c r="B696" t="s">
        <v>546</v>
      </c>
      <c r="C696" s="1">
        <v>35461</v>
      </c>
      <c r="D696" s="1" t="str">
        <f t="shared" si="30"/>
        <v>jan</v>
      </c>
      <c r="E696" s="1" t="str">
        <f t="shared" si="31"/>
        <v>1997</v>
      </c>
      <c r="F696" s="1">
        <v>35475</v>
      </c>
      <c r="G696" s="1">
        <v>35468</v>
      </c>
      <c r="H696">
        <v>2</v>
      </c>
      <c r="I696" t="str">
        <f t="shared" si="32"/>
        <v>USPS</v>
      </c>
      <c r="J696">
        <v>4.34</v>
      </c>
      <c r="K696" t="s">
        <v>16</v>
      </c>
      <c r="L696" t="s">
        <v>548</v>
      </c>
      <c r="M696" t="s">
        <v>549</v>
      </c>
      <c r="N696" t="s">
        <v>550</v>
      </c>
      <c r="O696" t="s">
        <v>551</v>
      </c>
      <c r="P696" t="s">
        <v>290</v>
      </c>
    </row>
    <row r="697" spans="1:16" x14ac:dyDescent="0.25">
      <c r="A697">
        <v>10756</v>
      </c>
      <c r="B697" t="s">
        <v>546</v>
      </c>
      <c r="C697" s="1">
        <v>35761</v>
      </c>
      <c r="D697" s="1" t="str">
        <f t="shared" si="30"/>
        <v>nov</v>
      </c>
      <c r="E697" s="1" t="str">
        <f t="shared" si="31"/>
        <v>1997</v>
      </c>
      <c r="F697" s="1">
        <v>35789</v>
      </c>
      <c r="G697" s="1">
        <v>35766</v>
      </c>
      <c r="H697">
        <v>2</v>
      </c>
      <c r="I697" t="str">
        <f t="shared" si="32"/>
        <v>USPS</v>
      </c>
      <c r="J697">
        <v>73.209999999999994</v>
      </c>
      <c r="K697" t="s">
        <v>16</v>
      </c>
      <c r="L697" t="s">
        <v>548</v>
      </c>
      <c r="M697" t="s">
        <v>549</v>
      </c>
      <c r="N697" t="s">
        <v>550</v>
      </c>
      <c r="O697" t="s">
        <v>551</v>
      </c>
      <c r="P697" t="s">
        <v>290</v>
      </c>
    </row>
    <row r="698" spans="1:16" x14ac:dyDescent="0.25">
      <c r="A698">
        <v>10821</v>
      </c>
      <c r="B698" t="s">
        <v>546</v>
      </c>
      <c r="C698" s="1">
        <v>35803</v>
      </c>
      <c r="D698" s="1" t="str">
        <f t="shared" si="30"/>
        <v>jan</v>
      </c>
      <c r="E698" s="1" t="str">
        <f t="shared" si="31"/>
        <v>1998</v>
      </c>
      <c r="F698" s="1">
        <v>35831</v>
      </c>
      <c r="G698" s="1">
        <v>35810</v>
      </c>
      <c r="H698">
        <v>1</v>
      </c>
      <c r="I698" t="str">
        <f t="shared" si="32"/>
        <v>UPS</v>
      </c>
      <c r="J698">
        <v>36.68</v>
      </c>
      <c r="K698" t="s">
        <v>16</v>
      </c>
      <c r="L698" t="s">
        <v>548</v>
      </c>
      <c r="M698" t="s">
        <v>549</v>
      </c>
      <c r="N698" t="s">
        <v>550</v>
      </c>
      <c r="O698" t="s">
        <v>551</v>
      </c>
      <c r="P698" t="s">
        <v>290</v>
      </c>
    </row>
    <row r="699" spans="1:16" x14ac:dyDescent="0.25">
      <c r="A699">
        <v>10974</v>
      </c>
      <c r="B699" t="s">
        <v>546</v>
      </c>
      <c r="C699" s="1">
        <v>35879</v>
      </c>
      <c r="D699" s="1" t="str">
        <f t="shared" si="30"/>
        <v>mar</v>
      </c>
      <c r="E699" s="1" t="str">
        <f t="shared" si="31"/>
        <v>1998</v>
      </c>
      <c r="F699" s="1">
        <v>35893</v>
      </c>
      <c r="G699" s="1">
        <v>35888</v>
      </c>
      <c r="H699">
        <v>3</v>
      </c>
      <c r="I699" t="str">
        <f t="shared" si="32"/>
        <v>DHL</v>
      </c>
      <c r="J699">
        <v>12.96</v>
      </c>
      <c r="K699" t="s">
        <v>16</v>
      </c>
      <c r="L699" t="s">
        <v>548</v>
      </c>
      <c r="M699" t="s">
        <v>549</v>
      </c>
      <c r="N699" t="s">
        <v>550</v>
      </c>
      <c r="O699" t="s">
        <v>551</v>
      </c>
      <c r="P699" t="s">
        <v>290</v>
      </c>
    </row>
    <row r="700" spans="1:16" x14ac:dyDescent="0.25">
      <c r="A700">
        <v>10252</v>
      </c>
      <c r="B700" t="s">
        <v>553</v>
      </c>
      <c r="C700" s="1">
        <v>35255</v>
      </c>
      <c r="D700" s="1" t="str">
        <f t="shared" si="30"/>
        <v>jul</v>
      </c>
      <c r="E700" s="1" t="str">
        <f t="shared" si="31"/>
        <v>1996</v>
      </c>
      <c r="F700" s="1">
        <v>35283</v>
      </c>
      <c r="G700" s="1">
        <v>35257</v>
      </c>
      <c r="H700">
        <v>2</v>
      </c>
      <c r="I700" t="str">
        <f t="shared" si="32"/>
        <v>USPS</v>
      </c>
      <c r="J700">
        <v>51.3</v>
      </c>
      <c r="K700" t="s">
        <v>15</v>
      </c>
      <c r="L700" t="s">
        <v>555</v>
      </c>
      <c r="M700" t="s">
        <v>556</v>
      </c>
      <c r="O700" t="s">
        <v>557</v>
      </c>
      <c r="P700" t="s">
        <v>406</v>
      </c>
    </row>
    <row r="701" spans="1:16" x14ac:dyDescent="0.25">
      <c r="A701">
        <v>10302</v>
      </c>
      <c r="B701" t="s">
        <v>553</v>
      </c>
      <c r="C701" s="1">
        <v>35318</v>
      </c>
      <c r="D701" s="1" t="str">
        <f t="shared" si="30"/>
        <v>set</v>
      </c>
      <c r="E701" s="1" t="str">
        <f t="shared" si="31"/>
        <v>1996</v>
      </c>
      <c r="F701" s="1">
        <v>35346</v>
      </c>
      <c r="G701" s="1">
        <v>35347</v>
      </c>
      <c r="H701">
        <v>2</v>
      </c>
      <c r="I701" t="str">
        <f t="shared" si="32"/>
        <v>USPS</v>
      </c>
      <c r="J701">
        <v>6.27</v>
      </c>
      <c r="K701" t="s">
        <v>15</v>
      </c>
      <c r="L701" t="s">
        <v>555</v>
      </c>
      <c r="M701" t="s">
        <v>556</v>
      </c>
      <c r="O701" t="s">
        <v>557</v>
      </c>
      <c r="P701" t="s">
        <v>406</v>
      </c>
    </row>
    <row r="702" spans="1:16" x14ac:dyDescent="0.25">
      <c r="A702">
        <v>10458</v>
      </c>
      <c r="B702" t="s">
        <v>553</v>
      </c>
      <c r="C702" s="1">
        <v>35487</v>
      </c>
      <c r="D702" s="1" t="str">
        <f t="shared" si="30"/>
        <v>fev</v>
      </c>
      <c r="E702" s="1" t="str">
        <f t="shared" si="31"/>
        <v>1997</v>
      </c>
      <c r="F702" s="1">
        <v>35515</v>
      </c>
      <c r="G702" s="1">
        <v>35493</v>
      </c>
      <c r="H702">
        <v>3</v>
      </c>
      <c r="I702" t="str">
        <f t="shared" si="32"/>
        <v>DHL</v>
      </c>
      <c r="J702">
        <v>147.06</v>
      </c>
      <c r="K702" t="s">
        <v>15</v>
      </c>
      <c r="L702" t="s">
        <v>555</v>
      </c>
      <c r="M702" t="s">
        <v>556</v>
      </c>
      <c r="O702" t="s">
        <v>557</v>
      </c>
      <c r="P702" t="s">
        <v>406</v>
      </c>
    </row>
    <row r="703" spans="1:16" x14ac:dyDescent="0.25">
      <c r="A703">
        <v>10463</v>
      </c>
      <c r="B703" t="s">
        <v>553</v>
      </c>
      <c r="C703" s="1">
        <v>35493</v>
      </c>
      <c r="D703" s="1" t="str">
        <f t="shared" si="30"/>
        <v>mar</v>
      </c>
      <c r="E703" s="1" t="str">
        <f t="shared" si="31"/>
        <v>1997</v>
      </c>
      <c r="F703" s="1">
        <v>35521</v>
      </c>
      <c r="G703" s="1">
        <v>35495</v>
      </c>
      <c r="H703">
        <v>3</v>
      </c>
      <c r="I703" t="str">
        <f t="shared" si="32"/>
        <v>DHL</v>
      </c>
      <c r="J703">
        <v>14.78</v>
      </c>
      <c r="K703" t="s">
        <v>15</v>
      </c>
      <c r="L703" t="s">
        <v>555</v>
      </c>
      <c r="M703" t="s">
        <v>556</v>
      </c>
      <c r="O703" t="s">
        <v>557</v>
      </c>
      <c r="P703" t="s">
        <v>406</v>
      </c>
    </row>
    <row r="704" spans="1:16" x14ac:dyDescent="0.25">
      <c r="A704">
        <v>10475</v>
      </c>
      <c r="B704" t="s">
        <v>553</v>
      </c>
      <c r="C704" s="1">
        <v>35503</v>
      </c>
      <c r="D704" s="1" t="str">
        <f t="shared" si="30"/>
        <v>mar</v>
      </c>
      <c r="E704" s="1" t="str">
        <f t="shared" si="31"/>
        <v>1997</v>
      </c>
      <c r="F704" s="1">
        <v>35531</v>
      </c>
      <c r="G704" s="1">
        <v>35524</v>
      </c>
      <c r="H704">
        <v>1</v>
      </c>
      <c r="I704" t="str">
        <f t="shared" si="32"/>
        <v>UPS</v>
      </c>
      <c r="J704">
        <v>68.52</v>
      </c>
      <c r="K704" t="s">
        <v>15</v>
      </c>
      <c r="L704" t="s">
        <v>555</v>
      </c>
      <c r="M704" t="s">
        <v>556</v>
      </c>
      <c r="O704" t="s">
        <v>557</v>
      </c>
      <c r="P704" t="s">
        <v>406</v>
      </c>
    </row>
    <row r="705" spans="1:16" x14ac:dyDescent="0.25">
      <c r="A705">
        <v>10767</v>
      </c>
      <c r="B705" t="s">
        <v>553</v>
      </c>
      <c r="C705" s="1">
        <v>35769</v>
      </c>
      <c r="D705" s="1" t="str">
        <f t="shared" si="30"/>
        <v>dez</v>
      </c>
      <c r="E705" s="1" t="str">
        <f t="shared" si="31"/>
        <v>1997</v>
      </c>
      <c r="F705" s="1">
        <v>35797</v>
      </c>
      <c r="G705" s="1">
        <v>35779</v>
      </c>
      <c r="H705">
        <v>3</v>
      </c>
      <c r="I705" t="str">
        <f t="shared" si="32"/>
        <v>DHL</v>
      </c>
      <c r="J705">
        <v>1.59</v>
      </c>
      <c r="K705" t="s">
        <v>15</v>
      </c>
      <c r="L705" t="s">
        <v>555</v>
      </c>
      <c r="M705" t="s">
        <v>556</v>
      </c>
      <c r="O705" t="s">
        <v>557</v>
      </c>
      <c r="P705" t="s">
        <v>406</v>
      </c>
    </row>
    <row r="706" spans="1:16" x14ac:dyDescent="0.25">
      <c r="A706">
        <v>10841</v>
      </c>
      <c r="B706" t="s">
        <v>553</v>
      </c>
      <c r="C706" s="1">
        <v>35815</v>
      </c>
      <c r="D706" s="1" t="str">
        <f t="shared" si="30"/>
        <v>jan</v>
      </c>
      <c r="E706" s="1" t="str">
        <f t="shared" si="31"/>
        <v>1998</v>
      </c>
      <c r="F706" s="1">
        <v>35843</v>
      </c>
      <c r="G706" s="1">
        <v>35824</v>
      </c>
      <c r="H706">
        <v>2</v>
      </c>
      <c r="I706" t="str">
        <f t="shared" si="32"/>
        <v>USPS</v>
      </c>
      <c r="J706">
        <v>424.3</v>
      </c>
      <c r="K706" t="s">
        <v>15</v>
      </c>
      <c r="L706" t="s">
        <v>555</v>
      </c>
      <c r="M706" t="s">
        <v>556</v>
      </c>
      <c r="O706" t="s">
        <v>557</v>
      </c>
      <c r="P706" t="s">
        <v>406</v>
      </c>
    </row>
    <row r="707" spans="1:16" x14ac:dyDescent="0.25">
      <c r="A707">
        <v>10846</v>
      </c>
      <c r="B707" t="s">
        <v>553</v>
      </c>
      <c r="C707" s="1">
        <v>35817</v>
      </c>
      <c r="D707" s="1" t="str">
        <f t="shared" ref="D707:D770" si="33">TEXT(C707,"mmm")</f>
        <v>jan</v>
      </c>
      <c r="E707" s="1" t="str">
        <f t="shared" ref="E707:E770" si="34">TEXT(C707,"aaa")</f>
        <v>1998</v>
      </c>
      <c r="F707" s="1">
        <v>35859</v>
      </c>
      <c r="G707" s="1">
        <v>35818</v>
      </c>
      <c r="H707">
        <v>3</v>
      </c>
      <c r="I707" t="str">
        <f t="shared" ref="I707:I770" si="35">CHOOSE(H707,"UPS","USPS","DHL")</f>
        <v>DHL</v>
      </c>
      <c r="J707">
        <v>56.46</v>
      </c>
      <c r="K707" t="s">
        <v>15</v>
      </c>
      <c r="L707" t="s">
        <v>555</v>
      </c>
      <c r="M707" t="s">
        <v>556</v>
      </c>
      <c r="O707" t="s">
        <v>557</v>
      </c>
      <c r="P707" t="s">
        <v>406</v>
      </c>
    </row>
    <row r="708" spans="1:16" x14ac:dyDescent="0.25">
      <c r="A708">
        <v>10885</v>
      </c>
      <c r="B708" t="s">
        <v>553</v>
      </c>
      <c r="C708" s="1">
        <v>35838</v>
      </c>
      <c r="D708" s="1" t="str">
        <f t="shared" si="33"/>
        <v>fev</v>
      </c>
      <c r="E708" s="1" t="str">
        <f t="shared" si="34"/>
        <v>1998</v>
      </c>
      <c r="F708" s="1">
        <v>35866</v>
      </c>
      <c r="G708" s="1">
        <v>35844</v>
      </c>
      <c r="H708">
        <v>3</v>
      </c>
      <c r="I708" t="str">
        <f t="shared" si="35"/>
        <v>DHL</v>
      </c>
      <c r="J708">
        <v>5.64</v>
      </c>
      <c r="K708" t="s">
        <v>15</v>
      </c>
      <c r="L708" t="s">
        <v>555</v>
      </c>
      <c r="M708" t="s">
        <v>556</v>
      </c>
      <c r="O708" t="s">
        <v>557</v>
      </c>
      <c r="P708" t="s">
        <v>406</v>
      </c>
    </row>
    <row r="709" spans="1:16" x14ac:dyDescent="0.25">
      <c r="A709">
        <v>10930</v>
      </c>
      <c r="B709" t="s">
        <v>553</v>
      </c>
      <c r="C709" s="1">
        <v>35860</v>
      </c>
      <c r="D709" s="1" t="str">
        <f t="shared" si="33"/>
        <v>mar</v>
      </c>
      <c r="E709" s="1" t="str">
        <f t="shared" si="34"/>
        <v>1998</v>
      </c>
      <c r="F709" s="1">
        <v>35902</v>
      </c>
      <c r="G709" s="1">
        <v>35872</v>
      </c>
      <c r="H709">
        <v>3</v>
      </c>
      <c r="I709" t="str">
        <f t="shared" si="35"/>
        <v>DHL</v>
      </c>
      <c r="J709">
        <v>15.55</v>
      </c>
      <c r="K709" t="s">
        <v>15</v>
      </c>
      <c r="L709" t="s">
        <v>555</v>
      </c>
      <c r="M709" t="s">
        <v>556</v>
      </c>
      <c r="O709" t="s">
        <v>557</v>
      </c>
      <c r="P709" t="s">
        <v>406</v>
      </c>
    </row>
    <row r="710" spans="1:16" x14ac:dyDescent="0.25">
      <c r="A710">
        <v>11035</v>
      </c>
      <c r="B710" t="s">
        <v>553</v>
      </c>
      <c r="C710" s="1">
        <v>35905</v>
      </c>
      <c r="D710" s="1" t="str">
        <f t="shared" si="33"/>
        <v>abr</v>
      </c>
      <c r="E710" s="1" t="str">
        <f t="shared" si="34"/>
        <v>1998</v>
      </c>
      <c r="F710" s="1">
        <v>35933</v>
      </c>
      <c r="G710" s="1">
        <v>35909</v>
      </c>
      <c r="H710">
        <v>2</v>
      </c>
      <c r="I710" t="str">
        <f t="shared" si="35"/>
        <v>USPS</v>
      </c>
      <c r="J710">
        <v>0.17</v>
      </c>
      <c r="K710" t="s">
        <v>15</v>
      </c>
      <c r="L710" t="s">
        <v>555</v>
      </c>
      <c r="M710" t="s">
        <v>556</v>
      </c>
      <c r="O710" t="s">
        <v>557</v>
      </c>
      <c r="P710" t="s">
        <v>406</v>
      </c>
    </row>
    <row r="711" spans="1:16" x14ac:dyDescent="0.25">
      <c r="A711">
        <v>11038</v>
      </c>
      <c r="B711" t="s">
        <v>553</v>
      </c>
      <c r="C711" s="1">
        <v>35906</v>
      </c>
      <c r="D711" s="1" t="str">
        <f t="shared" si="33"/>
        <v>abr</v>
      </c>
      <c r="E711" s="1" t="str">
        <f t="shared" si="34"/>
        <v>1998</v>
      </c>
      <c r="F711" s="1">
        <v>35934</v>
      </c>
      <c r="G711" s="1">
        <v>35915</v>
      </c>
      <c r="H711">
        <v>2</v>
      </c>
      <c r="I711" t="str">
        <f t="shared" si="35"/>
        <v>USPS</v>
      </c>
      <c r="J711">
        <v>29.59</v>
      </c>
      <c r="K711" t="s">
        <v>15</v>
      </c>
      <c r="L711" t="s">
        <v>555</v>
      </c>
      <c r="M711" t="s">
        <v>556</v>
      </c>
      <c r="O711" t="s">
        <v>557</v>
      </c>
      <c r="P711" t="s">
        <v>406</v>
      </c>
    </row>
    <row r="712" spans="1:16" x14ac:dyDescent="0.25">
      <c r="A712">
        <v>10310</v>
      </c>
      <c r="B712" t="s">
        <v>559</v>
      </c>
      <c r="C712" s="1">
        <v>35328</v>
      </c>
      <c r="D712" s="1" t="str">
        <f t="shared" si="33"/>
        <v>set</v>
      </c>
      <c r="E712" s="1" t="str">
        <f t="shared" si="34"/>
        <v>1996</v>
      </c>
      <c r="F712" s="1">
        <v>35356</v>
      </c>
      <c r="G712" s="1">
        <v>35335</v>
      </c>
      <c r="H712">
        <v>2</v>
      </c>
      <c r="I712" t="str">
        <f t="shared" si="35"/>
        <v>USPS</v>
      </c>
      <c r="J712">
        <v>17.52</v>
      </c>
      <c r="K712" t="s">
        <v>14</v>
      </c>
      <c r="L712" t="s">
        <v>561</v>
      </c>
      <c r="M712" t="s">
        <v>392</v>
      </c>
      <c r="N712" t="s">
        <v>288</v>
      </c>
      <c r="O712" t="s">
        <v>562</v>
      </c>
      <c r="P712" t="s">
        <v>290</v>
      </c>
    </row>
    <row r="713" spans="1:16" x14ac:dyDescent="0.25">
      <c r="A713">
        <v>10708</v>
      </c>
      <c r="B713" t="s">
        <v>559</v>
      </c>
      <c r="C713" s="1">
        <v>35720</v>
      </c>
      <c r="D713" s="1" t="str">
        <f t="shared" si="33"/>
        <v>out</v>
      </c>
      <c r="E713" s="1" t="str">
        <f t="shared" si="34"/>
        <v>1997</v>
      </c>
      <c r="F713" s="1">
        <v>35762</v>
      </c>
      <c r="G713" s="1">
        <v>35739</v>
      </c>
      <c r="H713">
        <v>2</v>
      </c>
      <c r="I713" t="str">
        <f t="shared" si="35"/>
        <v>USPS</v>
      </c>
      <c r="J713">
        <v>2.96</v>
      </c>
      <c r="K713" t="s">
        <v>14</v>
      </c>
      <c r="L713" t="s">
        <v>561</v>
      </c>
      <c r="M713" t="s">
        <v>392</v>
      </c>
      <c r="N713" t="s">
        <v>288</v>
      </c>
      <c r="O713" t="s">
        <v>562</v>
      </c>
      <c r="P713" t="s">
        <v>290</v>
      </c>
    </row>
    <row r="714" spans="1:16" x14ac:dyDescent="0.25">
      <c r="A714">
        <v>10805</v>
      </c>
      <c r="B714" t="s">
        <v>559</v>
      </c>
      <c r="C714" s="1">
        <v>35794</v>
      </c>
      <c r="D714" s="1" t="str">
        <f t="shared" si="33"/>
        <v>dez</v>
      </c>
      <c r="E714" s="1" t="str">
        <f t="shared" si="34"/>
        <v>1997</v>
      </c>
      <c r="F714" s="1">
        <v>35822</v>
      </c>
      <c r="G714" s="1">
        <v>35804</v>
      </c>
      <c r="H714">
        <v>3</v>
      </c>
      <c r="I714" t="str">
        <f t="shared" si="35"/>
        <v>DHL</v>
      </c>
      <c r="J714">
        <v>237.34</v>
      </c>
      <c r="K714" t="s">
        <v>14</v>
      </c>
      <c r="L714" t="s">
        <v>561</v>
      </c>
      <c r="M714" t="s">
        <v>392</v>
      </c>
      <c r="N714" t="s">
        <v>288</v>
      </c>
      <c r="O714" t="s">
        <v>562</v>
      </c>
      <c r="P714" t="s">
        <v>290</v>
      </c>
    </row>
    <row r="715" spans="1:16" x14ac:dyDescent="0.25">
      <c r="A715">
        <v>10992</v>
      </c>
      <c r="B715" t="s">
        <v>559</v>
      </c>
      <c r="C715" s="1">
        <v>35886</v>
      </c>
      <c r="D715" s="1" t="str">
        <f t="shared" si="33"/>
        <v>abr</v>
      </c>
      <c r="E715" s="1" t="str">
        <f t="shared" si="34"/>
        <v>1998</v>
      </c>
      <c r="F715" s="1">
        <v>35914</v>
      </c>
      <c r="G715" s="1">
        <v>35888</v>
      </c>
      <c r="H715">
        <v>3</v>
      </c>
      <c r="I715" t="str">
        <f t="shared" si="35"/>
        <v>DHL</v>
      </c>
      <c r="J715">
        <v>4.2699999999999996</v>
      </c>
      <c r="K715" t="s">
        <v>14</v>
      </c>
      <c r="L715" t="s">
        <v>561</v>
      </c>
      <c r="M715" t="s">
        <v>392</v>
      </c>
      <c r="N715" t="s">
        <v>288</v>
      </c>
      <c r="O715" t="s">
        <v>562</v>
      </c>
      <c r="P715" t="s">
        <v>290</v>
      </c>
    </row>
    <row r="716" spans="1:16" x14ac:dyDescent="0.25">
      <c r="A716">
        <v>10624</v>
      </c>
      <c r="B716" t="s">
        <v>564</v>
      </c>
      <c r="C716" s="1">
        <v>35649</v>
      </c>
      <c r="D716" s="1" t="str">
        <f t="shared" si="33"/>
        <v>ago</v>
      </c>
      <c r="E716" s="1" t="str">
        <f t="shared" si="34"/>
        <v>1997</v>
      </c>
      <c r="F716" s="1">
        <v>35677</v>
      </c>
      <c r="G716" s="1">
        <v>35661</v>
      </c>
      <c r="H716">
        <v>2</v>
      </c>
      <c r="I716" t="str">
        <f t="shared" si="35"/>
        <v>USPS</v>
      </c>
      <c r="J716">
        <v>94.8</v>
      </c>
      <c r="K716" t="s">
        <v>13</v>
      </c>
      <c r="L716" t="s">
        <v>566</v>
      </c>
      <c r="M716" t="s">
        <v>567</v>
      </c>
      <c r="N716" t="s">
        <v>568</v>
      </c>
      <c r="O716" t="s">
        <v>569</v>
      </c>
      <c r="P716" t="s">
        <v>290</v>
      </c>
    </row>
    <row r="717" spans="1:16" x14ac:dyDescent="0.25">
      <c r="A717">
        <v>10775</v>
      </c>
      <c r="B717" t="s">
        <v>564</v>
      </c>
      <c r="C717" s="1">
        <v>35776</v>
      </c>
      <c r="D717" s="1" t="str">
        <f t="shared" si="33"/>
        <v>dez</v>
      </c>
      <c r="E717" s="1" t="str">
        <f t="shared" si="34"/>
        <v>1997</v>
      </c>
      <c r="F717" s="1">
        <v>35804</v>
      </c>
      <c r="G717" s="1">
        <v>35790</v>
      </c>
      <c r="H717">
        <v>1</v>
      </c>
      <c r="I717" t="str">
        <f t="shared" si="35"/>
        <v>UPS</v>
      </c>
      <c r="J717">
        <v>20.25</v>
      </c>
      <c r="K717" t="s">
        <v>13</v>
      </c>
      <c r="L717" t="s">
        <v>566</v>
      </c>
      <c r="M717" t="s">
        <v>567</v>
      </c>
      <c r="N717" t="s">
        <v>568</v>
      </c>
      <c r="O717" t="s">
        <v>569</v>
      </c>
      <c r="P717" t="s">
        <v>290</v>
      </c>
    </row>
    <row r="718" spans="1:16" x14ac:dyDescent="0.25">
      <c r="A718">
        <v>11003</v>
      </c>
      <c r="B718" t="s">
        <v>564</v>
      </c>
      <c r="C718" s="1">
        <v>35891</v>
      </c>
      <c r="D718" s="1" t="str">
        <f t="shared" si="33"/>
        <v>abr</v>
      </c>
      <c r="E718" s="1" t="str">
        <f t="shared" si="34"/>
        <v>1998</v>
      </c>
      <c r="F718" s="1">
        <v>35919</v>
      </c>
      <c r="G718" s="1">
        <v>35893</v>
      </c>
      <c r="H718">
        <v>3</v>
      </c>
      <c r="I718" t="str">
        <f t="shared" si="35"/>
        <v>DHL</v>
      </c>
      <c r="J718">
        <v>14.91</v>
      </c>
      <c r="K718" t="s">
        <v>13</v>
      </c>
      <c r="L718" t="s">
        <v>566</v>
      </c>
      <c r="M718" t="s">
        <v>567</v>
      </c>
      <c r="N718" t="s">
        <v>568</v>
      </c>
      <c r="O718" t="s">
        <v>569</v>
      </c>
      <c r="P718" t="s">
        <v>290</v>
      </c>
    </row>
    <row r="719" spans="1:16" x14ac:dyDescent="0.25">
      <c r="A719">
        <v>10438</v>
      </c>
      <c r="B719" t="s">
        <v>571</v>
      </c>
      <c r="C719" s="1">
        <v>35467</v>
      </c>
      <c r="D719" s="1" t="str">
        <f t="shared" si="33"/>
        <v>fev</v>
      </c>
      <c r="E719" s="1" t="str">
        <f t="shared" si="34"/>
        <v>1997</v>
      </c>
      <c r="F719" s="1">
        <v>35495</v>
      </c>
      <c r="G719" s="1">
        <v>35475</v>
      </c>
      <c r="H719">
        <v>2</v>
      </c>
      <c r="I719" t="str">
        <f t="shared" si="35"/>
        <v>USPS</v>
      </c>
      <c r="J719">
        <v>8.24</v>
      </c>
      <c r="K719" t="s">
        <v>11</v>
      </c>
      <c r="L719" t="s">
        <v>573</v>
      </c>
      <c r="M719" t="s">
        <v>574</v>
      </c>
      <c r="O719" t="s">
        <v>575</v>
      </c>
      <c r="P719" t="s">
        <v>94</v>
      </c>
    </row>
    <row r="720" spans="1:16" x14ac:dyDescent="0.25">
      <c r="A720">
        <v>10446</v>
      </c>
      <c r="B720" t="s">
        <v>571</v>
      </c>
      <c r="C720" s="1">
        <v>35475</v>
      </c>
      <c r="D720" s="1" t="str">
        <f t="shared" si="33"/>
        <v>fev</v>
      </c>
      <c r="E720" s="1" t="str">
        <f t="shared" si="34"/>
        <v>1997</v>
      </c>
      <c r="F720" s="1">
        <v>35503</v>
      </c>
      <c r="G720" s="1">
        <v>35480</v>
      </c>
      <c r="H720">
        <v>1</v>
      </c>
      <c r="I720" t="str">
        <f t="shared" si="35"/>
        <v>UPS</v>
      </c>
      <c r="J720">
        <v>14.68</v>
      </c>
      <c r="K720" t="s">
        <v>11</v>
      </c>
      <c r="L720" t="s">
        <v>573</v>
      </c>
      <c r="M720" t="s">
        <v>574</v>
      </c>
      <c r="O720" t="s">
        <v>575</v>
      </c>
      <c r="P720" t="s">
        <v>94</v>
      </c>
    </row>
    <row r="721" spans="1:16" x14ac:dyDescent="0.25">
      <c r="A721">
        <v>10548</v>
      </c>
      <c r="B721" t="s">
        <v>571</v>
      </c>
      <c r="C721" s="1">
        <v>35576</v>
      </c>
      <c r="D721" s="1" t="str">
        <f t="shared" si="33"/>
        <v>mai</v>
      </c>
      <c r="E721" s="1" t="str">
        <f t="shared" si="34"/>
        <v>1997</v>
      </c>
      <c r="F721" s="1">
        <v>35604</v>
      </c>
      <c r="G721" s="1">
        <v>35583</v>
      </c>
      <c r="H721">
        <v>2</v>
      </c>
      <c r="I721" t="str">
        <f t="shared" si="35"/>
        <v>USPS</v>
      </c>
      <c r="J721">
        <v>1.43</v>
      </c>
      <c r="K721" t="s">
        <v>11</v>
      </c>
      <c r="L721" t="s">
        <v>573</v>
      </c>
      <c r="M721" t="s">
        <v>574</v>
      </c>
      <c r="O721" t="s">
        <v>575</v>
      </c>
      <c r="P721" t="s">
        <v>94</v>
      </c>
    </row>
    <row r="722" spans="1:16" x14ac:dyDescent="0.25">
      <c r="A722">
        <v>10608</v>
      </c>
      <c r="B722" t="s">
        <v>571</v>
      </c>
      <c r="C722" s="1">
        <v>35634</v>
      </c>
      <c r="D722" s="1" t="str">
        <f t="shared" si="33"/>
        <v>jul</v>
      </c>
      <c r="E722" s="1" t="str">
        <f t="shared" si="34"/>
        <v>1997</v>
      </c>
      <c r="F722" s="1">
        <v>35662</v>
      </c>
      <c r="G722" s="1">
        <v>35643</v>
      </c>
      <c r="H722">
        <v>2</v>
      </c>
      <c r="I722" t="str">
        <f t="shared" si="35"/>
        <v>USPS</v>
      </c>
      <c r="J722">
        <v>27.79</v>
      </c>
      <c r="K722" t="s">
        <v>11</v>
      </c>
      <c r="L722" t="s">
        <v>573</v>
      </c>
      <c r="M722" t="s">
        <v>574</v>
      </c>
      <c r="O722" t="s">
        <v>575</v>
      </c>
      <c r="P722" t="s">
        <v>94</v>
      </c>
    </row>
    <row r="723" spans="1:16" x14ac:dyDescent="0.25">
      <c r="A723">
        <v>10967</v>
      </c>
      <c r="B723" t="s">
        <v>571</v>
      </c>
      <c r="C723" s="1">
        <v>35877</v>
      </c>
      <c r="D723" s="1" t="str">
        <f t="shared" si="33"/>
        <v>mar</v>
      </c>
      <c r="E723" s="1" t="str">
        <f t="shared" si="34"/>
        <v>1998</v>
      </c>
      <c r="F723" s="1">
        <v>35905</v>
      </c>
      <c r="G723" s="1">
        <v>35887</v>
      </c>
      <c r="H723">
        <v>2</v>
      </c>
      <c r="I723" t="str">
        <f t="shared" si="35"/>
        <v>USPS</v>
      </c>
      <c r="J723">
        <v>62.22</v>
      </c>
      <c r="K723" t="s">
        <v>11</v>
      </c>
      <c r="L723" t="s">
        <v>573</v>
      </c>
      <c r="M723" t="s">
        <v>574</v>
      </c>
      <c r="O723" t="s">
        <v>575</v>
      </c>
      <c r="P723" t="s">
        <v>94</v>
      </c>
    </row>
    <row r="724" spans="1:16" x14ac:dyDescent="0.25">
      <c r="A724">
        <v>10276</v>
      </c>
      <c r="B724" t="s">
        <v>577</v>
      </c>
      <c r="C724" s="1">
        <v>35285</v>
      </c>
      <c r="D724" s="1" t="str">
        <f t="shared" si="33"/>
        <v>ago</v>
      </c>
      <c r="E724" s="1" t="str">
        <f t="shared" si="34"/>
        <v>1996</v>
      </c>
      <c r="F724" s="1">
        <v>35299</v>
      </c>
      <c r="G724" s="1">
        <v>35291</v>
      </c>
      <c r="H724">
        <v>3</v>
      </c>
      <c r="I724" t="str">
        <f t="shared" si="35"/>
        <v>DHL</v>
      </c>
      <c r="J724">
        <v>13.84</v>
      </c>
      <c r="K724" t="s">
        <v>12</v>
      </c>
      <c r="L724" t="s">
        <v>579</v>
      </c>
      <c r="M724" t="s">
        <v>100</v>
      </c>
      <c r="O724" t="s">
        <v>453</v>
      </c>
      <c r="P724" t="s">
        <v>102</v>
      </c>
    </row>
    <row r="725" spans="1:16" x14ac:dyDescent="0.25">
      <c r="A725">
        <v>10293</v>
      </c>
      <c r="B725" t="s">
        <v>577</v>
      </c>
      <c r="C725" s="1">
        <v>35306</v>
      </c>
      <c r="D725" s="1" t="str">
        <f t="shared" si="33"/>
        <v>ago</v>
      </c>
      <c r="E725" s="1" t="str">
        <f t="shared" si="34"/>
        <v>1996</v>
      </c>
      <c r="F725" s="1">
        <v>35334</v>
      </c>
      <c r="G725" s="1">
        <v>35319</v>
      </c>
      <c r="H725">
        <v>3</v>
      </c>
      <c r="I725" t="str">
        <f t="shared" si="35"/>
        <v>DHL</v>
      </c>
      <c r="J725">
        <v>21.18</v>
      </c>
      <c r="K725" t="s">
        <v>12</v>
      </c>
      <c r="L725" t="s">
        <v>579</v>
      </c>
      <c r="M725" t="s">
        <v>100</v>
      </c>
      <c r="O725" t="s">
        <v>453</v>
      </c>
      <c r="P725" t="s">
        <v>102</v>
      </c>
    </row>
    <row r="726" spans="1:16" x14ac:dyDescent="0.25">
      <c r="A726">
        <v>10304</v>
      </c>
      <c r="B726" t="s">
        <v>577</v>
      </c>
      <c r="C726" s="1">
        <v>35320</v>
      </c>
      <c r="D726" s="1" t="str">
        <f t="shared" si="33"/>
        <v>set</v>
      </c>
      <c r="E726" s="1" t="str">
        <f t="shared" si="34"/>
        <v>1996</v>
      </c>
      <c r="F726" s="1">
        <v>35348</v>
      </c>
      <c r="G726" s="1">
        <v>35325</v>
      </c>
      <c r="H726">
        <v>2</v>
      </c>
      <c r="I726" t="str">
        <f t="shared" si="35"/>
        <v>USPS</v>
      </c>
      <c r="J726">
        <v>63.79</v>
      </c>
      <c r="K726" t="s">
        <v>12</v>
      </c>
      <c r="L726" t="s">
        <v>579</v>
      </c>
      <c r="M726" t="s">
        <v>100</v>
      </c>
      <c r="O726" t="s">
        <v>453</v>
      </c>
      <c r="P726" t="s">
        <v>102</v>
      </c>
    </row>
    <row r="727" spans="1:16" x14ac:dyDescent="0.25">
      <c r="A727">
        <v>10319</v>
      </c>
      <c r="B727" t="s">
        <v>577</v>
      </c>
      <c r="C727" s="1">
        <v>35340</v>
      </c>
      <c r="D727" s="1" t="str">
        <f t="shared" si="33"/>
        <v>out</v>
      </c>
      <c r="E727" s="1" t="str">
        <f t="shared" si="34"/>
        <v>1996</v>
      </c>
      <c r="F727" s="1">
        <v>35368</v>
      </c>
      <c r="G727" s="1">
        <v>35349</v>
      </c>
      <c r="H727">
        <v>3</v>
      </c>
      <c r="I727" t="str">
        <f t="shared" si="35"/>
        <v>DHL</v>
      </c>
      <c r="J727">
        <v>64.5</v>
      </c>
      <c r="K727" t="s">
        <v>12</v>
      </c>
      <c r="L727" t="s">
        <v>579</v>
      </c>
      <c r="M727" t="s">
        <v>100</v>
      </c>
      <c r="O727" t="s">
        <v>453</v>
      </c>
      <c r="P727" t="s">
        <v>102</v>
      </c>
    </row>
    <row r="728" spans="1:16" x14ac:dyDescent="0.25">
      <c r="A728">
        <v>10518</v>
      </c>
      <c r="B728" t="s">
        <v>577</v>
      </c>
      <c r="C728" s="1">
        <v>35545</v>
      </c>
      <c r="D728" s="1" t="str">
        <f t="shared" si="33"/>
        <v>abr</v>
      </c>
      <c r="E728" s="1" t="str">
        <f t="shared" si="34"/>
        <v>1997</v>
      </c>
      <c r="F728" s="1">
        <v>35559</v>
      </c>
      <c r="G728" s="1">
        <v>35555</v>
      </c>
      <c r="H728">
        <v>2</v>
      </c>
      <c r="I728" t="str">
        <f t="shared" si="35"/>
        <v>USPS</v>
      </c>
      <c r="J728">
        <v>218.15</v>
      </c>
      <c r="K728" t="s">
        <v>12</v>
      </c>
      <c r="L728" t="s">
        <v>579</v>
      </c>
      <c r="M728" t="s">
        <v>100</v>
      </c>
      <c r="O728" t="s">
        <v>453</v>
      </c>
      <c r="P728" t="s">
        <v>102</v>
      </c>
    </row>
    <row r="729" spans="1:16" x14ac:dyDescent="0.25">
      <c r="A729">
        <v>10576</v>
      </c>
      <c r="B729" t="s">
        <v>577</v>
      </c>
      <c r="C729" s="1">
        <v>35604</v>
      </c>
      <c r="D729" s="1" t="str">
        <f t="shared" si="33"/>
        <v>jun</v>
      </c>
      <c r="E729" s="1" t="str">
        <f t="shared" si="34"/>
        <v>1997</v>
      </c>
      <c r="F729" s="1">
        <v>35618</v>
      </c>
      <c r="G729" s="1">
        <v>35611</v>
      </c>
      <c r="H729">
        <v>3</v>
      </c>
      <c r="I729" t="str">
        <f t="shared" si="35"/>
        <v>DHL</v>
      </c>
      <c r="J729">
        <v>18.559999999999999</v>
      </c>
      <c r="K729" t="s">
        <v>12</v>
      </c>
      <c r="L729" t="s">
        <v>579</v>
      </c>
      <c r="M729" t="s">
        <v>100</v>
      </c>
      <c r="O729" t="s">
        <v>453</v>
      </c>
      <c r="P729" t="s">
        <v>102</v>
      </c>
    </row>
    <row r="730" spans="1:16" x14ac:dyDescent="0.25">
      <c r="A730">
        <v>10676</v>
      </c>
      <c r="B730" t="s">
        <v>577</v>
      </c>
      <c r="C730" s="1">
        <v>35695</v>
      </c>
      <c r="D730" s="1" t="str">
        <f t="shared" si="33"/>
        <v>set</v>
      </c>
      <c r="E730" s="1" t="str">
        <f t="shared" si="34"/>
        <v>1997</v>
      </c>
      <c r="F730" s="1">
        <v>35723</v>
      </c>
      <c r="G730" s="1">
        <v>35702</v>
      </c>
      <c r="H730">
        <v>2</v>
      </c>
      <c r="I730" t="str">
        <f t="shared" si="35"/>
        <v>USPS</v>
      </c>
      <c r="J730">
        <v>2.0099999999999998</v>
      </c>
      <c r="K730" t="s">
        <v>12</v>
      </c>
      <c r="L730" t="s">
        <v>579</v>
      </c>
      <c r="M730" t="s">
        <v>100</v>
      </c>
      <c r="O730" t="s">
        <v>453</v>
      </c>
      <c r="P730" t="s">
        <v>102</v>
      </c>
    </row>
    <row r="731" spans="1:16" x14ac:dyDescent="0.25">
      <c r="A731">
        <v>10842</v>
      </c>
      <c r="B731" t="s">
        <v>577</v>
      </c>
      <c r="C731" s="1">
        <v>35815</v>
      </c>
      <c r="D731" s="1" t="str">
        <f t="shared" si="33"/>
        <v>jan</v>
      </c>
      <c r="E731" s="1" t="str">
        <f t="shared" si="34"/>
        <v>1998</v>
      </c>
      <c r="F731" s="1">
        <v>35843</v>
      </c>
      <c r="G731" s="1">
        <v>35824</v>
      </c>
      <c r="H731">
        <v>3</v>
      </c>
      <c r="I731" t="str">
        <f t="shared" si="35"/>
        <v>DHL</v>
      </c>
      <c r="J731">
        <v>54.42</v>
      </c>
      <c r="K731" t="s">
        <v>12</v>
      </c>
      <c r="L731" t="s">
        <v>579</v>
      </c>
      <c r="M731" t="s">
        <v>100</v>
      </c>
      <c r="O731" t="s">
        <v>453</v>
      </c>
      <c r="P731" t="s">
        <v>102</v>
      </c>
    </row>
    <row r="732" spans="1:16" x14ac:dyDescent="0.25">
      <c r="A732">
        <v>10915</v>
      </c>
      <c r="B732" t="s">
        <v>577</v>
      </c>
      <c r="C732" s="1">
        <v>35853</v>
      </c>
      <c r="D732" s="1" t="str">
        <f t="shared" si="33"/>
        <v>fev</v>
      </c>
      <c r="E732" s="1" t="str">
        <f t="shared" si="34"/>
        <v>1998</v>
      </c>
      <c r="F732" s="1">
        <v>35881</v>
      </c>
      <c r="G732" s="1">
        <v>35856</v>
      </c>
      <c r="H732">
        <v>2</v>
      </c>
      <c r="I732" t="str">
        <f t="shared" si="35"/>
        <v>USPS</v>
      </c>
      <c r="J732">
        <v>3.51</v>
      </c>
      <c r="K732" t="s">
        <v>12</v>
      </c>
      <c r="L732" t="s">
        <v>579</v>
      </c>
      <c r="M732" t="s">
        <v>100</v>
      </c>
      <c r="O732" t="s">
        <v>453</v>
      </c>
      <c r="P732" t="s">
        <v>102</v>
      </c>
    </row>
    <row r="733" spans="1:16" x14ac:dyDescent="0.25">
      <c r="A733">
        <v>11069</v>
      </c>
      <c r="B733" t="s">
        <v>577</v>
      </c>
      <c r="C733" s="1">
        <v>35919</v>
      </c>
      <c r="D733" s="1" t="str">
        <f t="shared" si="33"/>
        <v>mai</v>
      </c>
      <c r="E733" s="1" t="str">
        <f t="shared" si="34"/>
        <v>1998</v>
      </c>
      <c r="F733" s="1">
        <v>35947</v>
      </c>
      <c r="G733" s="1">
        <v>35921</v>
      </c>
      <c r="H733">
        <v>2</v>
      </c>
      <c r="I733" t="str">
        <f t="shared" si="35"/>
        <v>USPS</v>
      </c>
      <c r="J733">
        <v>15.67</v>
      </c>
      <c r="K733" t="s">
        <v>12</v>
      </c>
      <c r="L733" t="s">
        <v>579</v>
      </c>
      <c r="M733" t="s">
        <v>100</v>
      </c>
      <c r="O733" t="s">
        <v>453</v>
      </c>
      <c r="P733" t="s">
        <v>102</v>
      </c>
    </row>
    <row r="734" spans="1:16" x14ac:dyDescent="0.25">
      <c r="A734">
        <v>10249</v>
      </c>
      <c r="B734" t="s">
        <v>581</v>
      </c>
      <c r="C734" s="1">
        <v>35251</v>
      </c>
      <c r="D734" s="1" t="str">
        <f t="shared" si="33"/>
        <v>jul</v>
      </c>
      <c r="E734" s="1" t="str">
        <f t="shared" si="34"/>
        <v>1996</v>
      </c>
      <c r="F734" s="1">
        <v>35293</v>
      </c>
      <c r="G734" s="1">
        <v>35256</v>
      </c>
      <c r="H734">
        <v>1</v>
      </c>
      <c r="I734" t="str">
        <f t="shared" si="35"/>
        <v>UPS</v>
      </c>
      <c r="J734">
        <v>11.61</v>
      </c>
      <c r="K734" t="s">
        <v>11</v>
      </c>
      <c r="L734" t="s">
        <v>573</v>
      </c>
      <c r="M734" t="s">
        <v>574</v>
      </c>
      <c r="O734" t="s">
        <v>575</v>
      </c>
      <c r="P734" t="s">
        <v>94</v>
      </c>
    </row>
    <row r="735" spans="1:16" x14ac:dyDescent="0.25">
      <c r="A735">
        <v>10292</v>
      </c>
      <c r="B735" t="s">
        <v>581</v>
      </c>
      <c r="C735" s="1">
        <v>35305</v>
      </c>
      <c r="D735" s="1" t="str">
        <f t="shared" si="33"/>
        <v>ago</v>
      </c>
      <c r="E735" s="1" t="str">
        <f t="shared" si="34"/>
        <v>1996</v>
      </c>
      <c r="F735" s="1">
        <v>35333</v>
      </c>
      <c r="G735" s="1">
        <v>35310</v>
      </c>
      <c r="H735">
        <v>2</v>
      </c>
      <c r="I735" t="str">
        <f t="shared" si="35"/>
        <v>USPS</v>
      </c>
      <c r="J735">
        <v>1.35</v>
      </c>
      <c r="K735" t="s">
        <v>10</v>
      </c>
      <c r="L735" t="s">
        <v>583</v>
      </c>
      <c r="M735" t="s">
        <v>186</v>
      </c>
      <c r="N735" t="s">
        <v>187</v>
      </c>
      <c r="O735" t="s">
        <v>584</v>
      </c>
      <c r="P735" t="s">
        <v>189</v>
      </c>
    </row>
    <row r="736" spans="1:16" x14ac:dyDescent="0.25">
      <c r="A736">
        <v>10496</v>
      </c>
      <c r="B736" t="s">
        <v>581</v>
      </c>
      <c r="C736" s="1">
        <v>35524</v>
      </c>
      <c r="D736" s="1" t="str">
        <f t="shared" si="33"/>
        <v>abr</v>
      </c>
      <c r="E736" s="1" t="str">
        <f t="shared" si="34"/>
        <v>1997</v>
      </c>
      <c r="F736" s="1">
        <v>35552</v>
      </c>
      <c r="G736" s="1">
        <v>35527</v>
      </c>
      <c r="H736">
        <v>2</v>
      </c>
      <c r="I736" t="str">
        <f t="shared" si="35"/>
        <v>USPS</v>
      </c>
      <c r="J736">
        <v>46.77</v>
      </c>
      <c r="K736" t="s">
        <v>10</v>
      </c>
      <c r="L736" t="s">
        <v>583</v>
      </c>
      <c r="M736" t="s">
        <v>186</v>
      </c>
      <c r="N736" t="s">
        <v>187</v>
      </c>
      <c r="O736" t="s">
        <v>584</v>
      </c>
      <c r="P736" t="s">
        <v>189</v>
      </c>
    </row>
    <row r="737" spans="1:16" x14ac:dyDescent="0.25">
      <c r="A737">
        <v>10606</v>
      </c>
      <c r="B737" t="s">
        <v>581</v>
      </c>
      <c r="C737" s="1">
        <v>35633</v>
      </c>
      <c r="D737" s="1" t="str">
        <f t="shared" si="33"/>
        <v>jul</v>
      </c>
      <c r="E737" s="1" t="str">
        <f t="shared" si="34"/>
        <v>1997</v>
      </c>
      <c r="F737" s="1">
        <v>35661</v>
      </c>
      <c r="G737" s="1">
        <v>35642</v>
      </c>
      <c r="H737">
        <v>3</v>
      </c>
      <c r="I737" t="str">
        <f t="shared" si="35"/>
        <v>DHL</v>
      </c>
      <c r="J737">
        <v>79.400000000000006</v>
      </c>
      <c r="K737" t="s">
        <v>10</v>
      </c>
      <c r="L737" t="s">
        <v>583</v>
      </c>
      <c r="M737" t="s">
        <v>186</v>
      </c>
      <c r="N737" t="s">
        <v>187</v>
      </c>
      <c r="O737" t="s">
        <v>584</v>
      </c>
      <c r="P737" t="s">
        <v>189</v>
      </c>
    </row>
    <row r="738" spans="1:16" x14ac:dyDescent="0.25">
      <c r="A738">
        <v>10830</v>
      </c>
      <c r="B738" t="s">
        <v>581</v>
      </c>
      <c r="C738" s="1">
        <v>35808</v>
      </c>
      <c r="D738" s="1" t="str">
        <f t="shared" si="33"/>
        <v>jan</v>
      </c>
      <c r="E738" s="1" t="str">
        <f t="shared" si="34"/>
        <v>1998</v>
      </c>
      <c r="F738" s="1">
        <v>35850</v>
      </c>
      <c r="G738" s="1">
        <v>35816</v>
      </c>
      <c r="H738">
        <v>2</v>
      </c>
      <c r="I738" t="str">
        <f t="shared" si="35"/>
        <v>USPS</v>
      </c>
      <c r="J738">
        <v>81.83</v>
      </c>
      <c r="K738" t="s">
        <v>10</v>
      </c>
      <c r="L738" t="s">
        <v>583</v>
      </c>
      <c r="M738" t="s">
        <v>186</v>
      </c>
      <c r="N738" t="s">
        <v>187</v>
      </c>
      <c r="O738" t="s">
        <v>584</v>
      </c>
      <c r="P738" t="s">
        <v>189</v>
      </c>
    </row>
    <row r="739" spans="1:16" x14ac:dyDescent="0.25">
      <c r="A739">
        <v>10834</v>
      </c>
      <c r="B739" t="s">
        <v>581</v>
      </c>
      <c r="C739" s="1">
        <v>35810</v>
      </c>
      <c r="D739" s="1" t="str">
        <f t="shared" si="33"/>
        <v>jan</v>
      </c>
      <c r="E739" s="1" t="str">
        <f t="shared" si="34"/>
        <v>1998</v>
      </c>
      <c r="F739" s="1">
        <v>35838</v>
      </c>
      <c r="G739" s="1">
        <v>35814</v>
      </c>
      <c r="H739">
        <v>3</v>
      </c>
      <c r="I739" t="str">
        <f t="shared" si="35"/>
        <v>DHL</v>
      </c>
      <c r="J739">
        <v>29.78</v>
      </c>
      <c r="K739" t="s">
        <v>10</v>
      </c>
      <c r="L739" t="s">
        <v>583</v>
      </c>
      <c r="M739" t="s">
        <v>186</v>
      </c>
      <c r="N739" t="s">
        <v>187</v>
      </c>
      <c r="O739" t="s">
        <v>584</v>
      </c>
      <c r="P739" t="s">
        <v>189</v>
      </c>
    </row>
    <row r="740" spans="1:16" x14ac:dyDescent="0.25">
      <c r="A740">
        <v>10839</v>
      </c>
      <c r="B740" t="s">
        <v>581</v>
      </c>
      <c r="C740" s="1">
        <v>35814</v>
      </c>
      <c r="D740" s="1" t="str">
        <f t="shared" si="33"/>
        <v>jan</v>
      </c>
      <c r="E740" s="1" t="str">
        <f t="shared" si="34"/>
        <v>1998</v>
      </c>
      <c r="F740" s="1">
        <v>35842</v>
      </c>
      <c r="G740" s="1">
        <v>35817</v>
      </c>
      <c r="H740">
        <v>3</v>
      </c>
      <c r="I740" t="str">
        <f t="shared" si="35"/>
        <v>DHL</v>
      </c>
      <c r="J740">
        <v>35.43</v>
      </c>
      <c r="K740" t="s">
        <v>10</v>
      </c>
      <c r="L740" t="s">
        <v>583</v>
      </c>
      <c r="M740" t="s">
        <v>186</v>
      </c>
      <c r="N740" t="s">
        <v>187</v>
      </c>
      <c r="O740" t="s">
        <v>584</v>
      </c>
      <c r="P740" t="s">
        <v>189</v>
      </c>
    </row>
    <row r="741" spans="1:16" x14ac:dyDescent="0.25">
      <c r="A741">
        <v>10574</v>
      </c>
      <c r="B741" t="s">
        <v>586</v>
      </c>
      <c r="C741" s="1">
        <v>35600</v>
      </c>
      <c r="D741" s="1" t="str">
        <f t="shared" si="33"/>
        <v>jun</v>
      </c>
      <c r="E741" s="1" t="str">
        <f t="shared" si="34"/>
        <v>1997</v>
      </c>
      <c r="F741" s="1">
        <v>35628</v>
      </c>
      <c r="G741" s="1">
        <v>35611</v>
      </c>
      <c r="H741">
        <v>2</v>
      </c>
      <c r="I741" t="str">
        <f t="shared" si="35"/>
        <v>USPS</v>
      </c>
      <c r="J741">
        <v>37.6</v>
      </c>
      <c r="K741" t="s">
        <v>9</v>
      </c>
      <c r="L741" t="s">
        <v>588</v>
      </c>
      <c r="M741" t="s">
        <v>589</v>
      </c>
      <c r="N741" t="s">
        <v>359</v>
      </c>
      <c r="O741" t="s">
        <v>590</v>
      </c>
      <c r="P741" t="s">
        <v>290</v>
      </c>
    </row>
    <row r="742" spans="1:16" x14ac:dyDescent="0.25">
      <c r="A742">
        <v>10577</v>
      </c>
      <c r="B742" t="s">
        <v>586</v>
      </c>
      <c r="C742" s="1">
        <v>35604</v>
      </c>
      <c r="D742" s="1" t="str">
        <f t="shared" si="33"/>
        <v>jun</v>
      </c>
      <c r="E742" s="1" t="str">
        <f t="shared" si="34"/>
        <v>1997</v>
      </c>
      <c r="F742" s="1">
        <v>35646</v>
      </c>
      <c r="G742" s="1">
        <v>35611</v>
      </c>
      <c r="H742">
        <v>2</v>
      </c>
      <c r="I742" t="str">
        <f t="shared" si="35"/>
        <v>USPS</v>
      </c>
      <c r="J742">
        <v>25.41</v>
      </c>
      <c r="K742" t="s">
        <v>9</v>
      </c>
      <c r="L742" t="s">
        <v>588</v>
      </c>
      <c r="M742" t="s">
        <v>589</v>
      </c>
      <c r="N742" t="s">
        <v>359</v>
      </c>
      <c r="O742" t="s">
        <v>590</v>
      </c>
      <c r="P742" t="s">
        <v>290</v>
      </c>
    </row>
    <row r="743" spans="1:16" x14ac:dyDescent="0.25">
      <c r="A743">
        <v>10822</v>
      </c>
      <c r="B743" t="s">
        <v>586</v>
      </c>
      <c r="C743" s="1">
        <v>35803</v>
      </c>
      <c r="D743" s="1" t="str">
        <f t="shared" si="33"/>
        <v>jan</v>
      </c>
      <c r="E743" s="1" t="str">
        <f t="shared" si="34"/>
        <v>1998</v>
      </c>
      <c r="F743" s="1">
        <v>35831</v>
      </c>
      <c r="G743" s="1">
        <v>35811</v>
      </c>
      <c r="H743">
        <v>3</v>
      </c>
      <c r="I743" t="str">
        <f t="shared" si="35"/>
        <v>DHL</v>
      </c>
      <c r="J743">
        <v>7</v>
      </c>
      <c r="K743" t="s">
        <v>9</v>
      </c>
      <c r="L743" t="s">
        <v>588</v>
      </c>
      <c r="M743" t="s">
        <v>589</v>
      </c>
      <c r="N743" t="s">
        <v>359</v>
      </c>
      <c r="O743" t="s">
        <v>590</v>
      </c>
      <c r="P743" t="s">
        <v>290</v>
      </c>
    </row>
    <row r="744" spans="1:16" x14ac:dyDescent="0.25">
      <c r="A744">
        <v>10367</v>
      </c>
      <c r="B744" t="s">
        <v>592</v>
      </c>
      <c r="C744" s="1">
        <v>35397</v>
      </c>
      <c r="D744" s="1" t="str">
        <f t="shared" si="33"/>
        <v>nov</v>
      </c>
      <c r="E744" s="1" t="str">
        <f t="shared" si="34"/>
        <v>1996</v>
      </c>
      <c r="F744" s="1">
        <v>35425</v>
      </c>
      <c r="G744" s="1">
        <v>35401</v>
      </c>
      <c r="H744">
        <v>3</v>
      </c>
      <c r="I744" t="str">
        <f t="shared" si="35"/>
        <v>DHL</v>
      </c>
      <c r="J744">
        <v>13.55</v>
      </c>
      <c r="K744" t="s">
        <v>8</v>
      </c>
      <c r="L744" t="s">
        <v>594</v>
      </c>
      <c r="M744" t="s">
        <v>595</v>
      </c>
      <c r="O744" t="s">
        <v>596</v>
      </c>
      <c r="P744" t="s">
        <v>539</v>
      </c>
    </row>
    <row r="745" spans="1:16" x14ac:dyDescent="0.25">
      <c r="A745">
        <v>10399</v>
      </c>
      <c r="B745" t="s">
        <v>592</v>
      </c>
      <c r="C745" s="1">
        <v>35430</v>
      </c>
      <c r="D745" s="1" t="str">
        <f t="shared" si="33"/>
        <v>dez</v>
      </c>
      <c r="E745" s="1" t="str">
        <f t="shared" si="34"/>
        <v>1996</v>
      </c>
      <c r="F745" s="1">
        <v>35444</v>
      </c>
      <c r="G745" s="1">
        <v>35438</v>
      </c>
      <c r="H745">
        <v>3</v>
      </c>
      <c r="I745" t="str">
        <f t="shared" si="35"/>
        <v>DHL</v>
      </c>
      <c r="J745">
        <v>27.36</v>
      </c>
      <c r="K745" t="s">
        <v>8</v>
      </c>
      <c r="L745" t="s">
        <v>594</v>
      </c>
      <c r="M745" t="s">
        <v>595</v>
      </c>
      <c r="O745" t="s">
        <v>596</v>
      </c>
      <c r="P745" t="s">
        <v>539</v>
      </c>
    </row>
    <row r="746" spans="1:16" x14ac:dyDescent="0.25">
      <c r="A746">
        <v>10465</v>
      </c>
      <c r="B746" t="s">
        <v>592</v>
      </c>
      <c r="C746" s="1">
        <v>35494</v>
      </c>
      <c r="D746" s="1" t="str">
        <f t="shared" si="33"/>
        <v>mar</v>
      </c>
      <c r="E746" s="1" t="str">
        <f t="shared" si="34"/>
        <v>1997</v>
      </c>
      <c r="F746" s="1">
        <v>35522</v>
      </c>
      <c r="G746" s="1">
        <v>35503</v>
      </c>
      <c r="H746">
        <v>3</v>
      </c>
      <c r="I746" t="str">
        <f t="shared" si="35"/>
        <v>DHL</v>
      </c>
      <c r="J746">
        <v>145.04</v>
      </c>
      <c r="K746" t="s">
        <v>8</v>
      </c>
      <c r="L746" t="s">
        <v>594</v>
      </c>
      <c r="M746" t="s">
        <v>595</v>
      </c>
      <c r="O746" t="s">
        <v>596</v>
      </c>
      <c r="P746" t="s">
        <v>539</v>
      </c>
    </row>
    <row r="747" spans="1:16" x14ac:dyDescent="0.25">
      <c r="A747">
        <v>10591</v>
      </c>
      <c r="B747" t="s">
        <v>592</v>
      </c>
      <c r="C747" s="1">
        <v>35618</v>
      </c>
      <c r="D747" s="1" t="str">
        <f t="shared" si="33"/>
        <v>jul</v>
      </c>
      <c r="E747" s="1" t="str">
        <f t="shared" si="34"/>
        <v>1997</v>
      </c>
      <c r="F747" s="1">
        <v>35632</v>
      </c>
      <c r="G747" s="1">
        <v>35627</v>
      </c>
      <c r="H747">
        <v>1</v>
      </c>
      <c r="I747" t="str">
        <f t="shared" si="35"/>
        <v>UPS</v>
      </c>
      <c r="J747">
        <v>55.92</v>
      </c>
      <c r="K747" t="s">
        <v>8</v>
      </c>
      <c r="L747" t="s">
        <v>594</v>
      </c>
      <c r="M747" t="s">
        <v>595</v>
      </c>
      <c r="O747" t="s">
        <v>596</v>
      </c>
      <c r="P747" t="s">
        <v>539</v>
      </c>
    </row>
    <row r="748" spans="1:16" x14ac:dyDescent="0.25">
      <c r="A748">
        <v>10602</v>
      </c>
      <c r="B748" t="s">
        <v>592</v>
      </c>
      <c r="C748" s="1">
        <v>35628</v>
      </c>
      <c r="D748" s="1" t="str">
        <f t="shared" si="33"/>
        <v>jul</v>
      </c>
      <c r="E748" s="1" t="str">
        <f t="shared" si="34"/>
        <v>1997</v>
      </c>
      <c r="F748" s="1">
        <v>35656</v>
      </c>
      <c r="G748" s="1">
        <v>35633</v>
      </c>
      <c r="H748">
        <v>2</v>
      </c>
      <c r="I748" t="str">
        <f t="shared" si="35"/>
        <v>USPS</v>
      </c>
      <c r="J748">
        <v>2.92</v>
      </c>
      <c r="K748" t="s">
        <v>8</v>
      </c>
      <c r="L748" t="s">
        <v>594</v>
      </c>
      <c r="M748" t="s">
        <v>595</v>
      </c>
      <c r="O748" t="s">
        <v>596</v>
      </c>
      <c r="P748" t="s">
        <v>539</v>
      </c>
    </row>
    <row r="749" spans="1:16" x14ac:dyDescent="0.25">
      <c r="A749">
        <v>10688</v>
      </c>
      <c r="B749" t="s">
        <v>592</v>
      </c>
      <c r="C749" s="1">
        <v>35704</v>
      </c>
      <c r="D749" s="1" t="str">
        <f t="shared" si="33"/>
        <v>out</v>
      </c>
      <c r="E749" s="1" t="str">
        <f t="shared" si="34"/>
        <v>1997</v>
      </c>
      <c r="F749" s="1">
        <v>35718</v>
      </c>
      <c r="G749" s="1">
        <v>35710</v>
      </c>
      <c r="H749">
        <v>2</v>
      </c>
      <c r="I749" t="str">
        <f t="shared" si="35"/>
        <v>USPS</v>
      </c>
      <c r="J749">
        <v>299.08999999999997</v>
      </c>
      <c r="K749" t="s">
        <v>8</v>
      </c>
      <c r="L749" t="s">
        <v>594</v>
      </c>
      <c r="M749" t="s">
        <v>595</v>
      </c>
      <c r="O749" t="s">
        <v>596</v>
      </c>
      <c r="P749" t="s">
        <v>539</v>
      </c>
    </row>
    <row r="750" spans="1:16" x14ac:dyDescent="0.25">
      <c r="A750">
        <v>10744</v>
      </c>
      <c r="B750" t="s">
        <v>592</v>
      </c>
      <c r="C750" s="1">
        <v>35751</v>
      </c>
      <c r="D750" s="1" t="str">
        <f t="shared" si="33"/>
        <v>nov</v>
      </c>
      <c r="E750" s="1" t="str">
        <f t="shared" si="34"/>
        <v>1997</v>
      </c>
      <c r="F750" s="1">
        <v>35779</v>
      </c>
      <c r="G750" s="1">
        <v>35758</v>
      </c>
      <c r="H750">
        <v>1</v>
      </c>
      <c r="I750" t="str">
        <f t="shared" si="35"/>
        <v>UPS</v>
      </c>
      <c r="J750">
        <v>69.19</v>
      </c>
      <c r="K750" t="s">
        <v>8</v>
      </c>
      <c r="L750" t="s">
        <v>594</v>
      </c>
      <c r="M750" t="s">
        <v>595</v>
      </c>
      <c r="O750" t="s">
        <v>596</v>
      </c>
      <c r="P750" t="s">
        <v>539</v>
      </c>
    </row>
    <row r="751" spans="1:16" x14ac:dyDescent="0.25">
      <c r="A751">
        <v>10769</v>
      </c>
      <c r="B751" t="s">
        <v>592</v>
      </c>
      <c r="C751" s="1">
        <v>35772</v>
      </c>
      <c r="D751" s="1" t="str">
        <f t="shared" si="33"/>
        <v>dez</v>
      </c>
      <c r="E751" s="1" t="str">
        <f t="shared" si="34"/>
        <v>1997</v>
      </c>
      <c r="F751" s="1">
        <v>35800</v>
      </c>
      <c r="G751" s="1">
        <v>35776</v>
      </c>
      <c r="H751">
        <v>1</v>
      </c>
      <c r="I751" t="str">
        <f t="shared" si="35"/>
        <v>UPS</v>
      </c>
      <c r="J751">
        <v>65.06</v>
      </c>
      <c r="K751" t="s">
        <v>8</v>
      </c>
      <c r="L751" t="s">
        <v>594</v>
      </c>
      <c r="M751" t="s">
        <v>595</v>
      </c>
      <c r="O751" t="s">
        <v>596</v>
      </c>
      <c r="P751" t="s">
        <v>539</v>
      </c>
    </row>
    <row r="752" spans="1:16" x14ac:dyDescent="0.25">
      <c r="A752">
        <v>10921</v>
      </c>
      <c r="B752" t="s">
        <v>592</v>
      </c>
      <c r="C752" s="1">
        <v>35857</v>
      </c>
      <c r="D752" s="1" t="str">
        <f t="shared" si="33"/>
        <v>mar</v>
      </c>
      <c r="E752" s="1" t="str">
        <f t="shared" si="34"/>
        <v>1998</v>
      </c>
      <c r="F752" s="1">
        <v>35899</v>
      </c>
      <c r="G752" s="1">
        <v>35863</v>
      </c>
      <c r="H752">
        <v>1</v>
      </c>
      <c r="I752" t="str">
        <f t="shared" si="35"/>
        <v>UPS</v>
      </c>
      <c r="J752">
        <v>176.48</v>
      </c>
      <c r="K752" t="s">
        <v>8</v>
      </c>
      <c r="L752" t="s">
        <v>594</v>
      </c>
      <c r="M752" t="s">
        <v>595</v>
      </c>
      <c r="O752" t="s">
        <v>596</v>
      </c>
      <c r="P752" t="s">
        <v>539</v>
      </c>
    </row>
    <row r="753" spans="1:16" x14ac:dyDescent="0.25">
      <c r="A753">
        <v>10946</v>
      </c>
      <c r="B753" t="s">
        <v>592</v>
      </c>
      <c r="C753" s="1">
        <v>35866</v>
      </c>
      <c r="D753" s="1" t="str">
        <f t="shared" si="33"/>
        <v>mar</v>
      </c>
      <c r="E753" s="1" t="str">
        <f t="shared" si="34"/>
        <v>1998</v>
      </c>
      <c r="F753" s="1">
        <v>35894</v>
      </c>
      <c r="G753" s="1">
        <v>35873</v>
      </c>
      <c r="H753">
        <v>2</v>
      </c>
      <c r="I753" t="str">
        <f t="shared" si="35"/>
        <v>USPS</v>
      </c>
      <c r="J753">
        <v>27.2</v>
      </c>
      <c r="K753" t="s">
        <v>8</v>
      </c>
      <c r="L753" t="s">
        <v>594</v>
      </c>
      <c r="M753" t="s">
        <v>595</v>
      </c>
      <c r="O753" t="s">
        <v>596</v>
      </c>
      <c r="P753" t="s">
        <v>539</v>
      </c>
    </row>
    <row r="754" spans="1:16" x14ac:dyDescent="0.25">
      <c r="A754">
        <v>10994</v>
      </c>
      <c r="B754" t="s">
        <v>592</v>
      </c>
      <c r="C754" s="1">
        <v>35887</v>
      </c>
      <c r="D754" s="1" t="str">
        <f t="shared" si="33"/>
        <v>abr</v>
      </c>
      <c r="E754" s="1" t="str">
        <f t="shared" si="34"/>
        <v>1998</v>
      </c>
      <c r="F754" s="1">
        <v>35901</v>
      </c>
      <c r="G754" s="1">
        <v>35894</v>
      </c>
      <c r="H754">
        <v>3</v>
      </c>
      <c r="I754" t="str">
        <f t="shared" si="35"/>
        <v>DHL</v>
      </c>
      <c r="J754">
        <v>65.53</v>
      </c>
      <c r="K754" t="s">
        <v>8</v>
      </c>
      <c r="L754" t="s">
        <v>594</v>
      </c>
      <c r="M754" t="s">
        <v>595</v>
      </c>
      <c r="O754" t="s">
        <v>596</v>
      </c>
      <c r="P754" t="s">
        <v>539</v>
      </c>
    </row>
    <row r="755" spans="1:16" x14ac:dyDescent="0.25">
      <c r="A755">
        <v>10251</v>
      </c>
      <c r="B755" t="s">
        <v>598</v>
      </c>
      <c r="C755" s="1">
        <v>35254</v>
      </c>
      <c r="D755" s="1" t="str">
        <f t="shared" si="33"/>
        <v>jul</v>
      </c>
      <c r="E755" s="1" t="str">
        <f t="shared" si="34"/>
        <v>1996</v>
      </c>
      <c r="F755" s="1">
        <v>35282</v>
      </c>
      <c r="G755" s="1">
        <v>35261</v>
      </c>
      <c r="H755">
        <v>1</v>
      </c>
      <c r="I755" t="str">
        <f t="shared" si="35"/>
        <v>UPS</v>
      </c>
      <c r="J755">
        <v>41.34</v>
      </c>
      <c r="K755" t="s">
        <v>7</v>
      </c>
      <c r="L755" t="s">
        <v>600</v>
      </c>
      <c r="M755" t="s">
        <v>601</v>
      </c>
      <c r="O755" t="s">
        <v>602</v>
      </c>
      <c r="P755" t="s">
        <v>134</v>
      </c>
    </row>
    <row r="756" spans="1:16" x14ac:dyDescent="0.25">
      <c r="A756">
        <v>10334</v>
      </c>
      <c r="B756" t="s">
        <v>598</v>
      </c>
      <c r="C756" s="1">
        <v>35359</v>
      </c>
      <c r="D756" s="1" t="str">
        <f t="shared" si="33"/>
        <v>out</v>
      </c>
      <c r="E756" s="1" t="str">
        <f t="shared" si="34"/>
        <v>1996</v>
      </c>
      <c r="F756" s="1">
        <v>35387</v>
      </c>
      <c r="G756" s="1">
        <v>35366</v>
      </c>
      <c r="H756">
        <v>2</v>
      </c>
      <c r="I756" t="str">
        <f t="shared" si="35"/>
        <v>USPS</v>
      </c>
      <c r="J756">
        <v>8.56</v>
      </c>
      <c r="K756" t="s">
        <v>7</v>
      </c>
      <c r="L756" t="s">
        <v>600</v>
      </c>
      <c r="M756" t="s">
        <v>601</v>
      </c>
      <c r="O756" t="s">
        <v>602</v>
      </c>
      <c r="P756" t="s">
        <v>134</v>
      </c>
    </row>
    <row r="757" spans="1:16" x14ac:dyDescent="0.25">
      <c r="A757">
        <v>10450</v>
      </c>
      <c r="B757" t="s">
        <v>598</v>
      </c>
      <c r="C757" s="1">
        <v>35480</v>
      </c>
      <c r="D757" s="1" t="str">
        <f t="shared" si="33"/>
        <v>fev</v>
      </c>
      <c r="E757" s="1" t="str">
        <f t="shared" si="34"/>
        <v>1997</v>
      </c>
      <c r="F757" s="1">
        <v>35508</v>
      </c>
      <c r="G757" s="1">
        <v>35500</v>
      </c>
      <c r="H757">
        <v>2</v>
      </c>
      <c r="I757" t="str">
        <f t="shared" si="35"/>
        <v>USPS</v>
      </c>
      <c r="J757">
        <v>7.23</v>
      </c>
      <c r="K757" t="s">
        <v>7</v>
      </c>
      <c r="L757" t="s">
        <v>600</v>
      </c>
      <c r="M757" t="s">
        <v>601</v>
      </c>
      <c r="O757" t="s">
        <v>602</v>
      </c>
      <c r="P757" t="s">
        <v>134</v>
      </c>
    </row>
    <row r="758" spans="1:16" x14ac:dyDescent="0.25">
      <c r="A758">
        <v>10459</v>
      </c>
      <c r="B758" t="s">
        <v>598</v>
      </c>
      <c r="C758" s="1">
        <v>35488</v>
      </c>
      <c r="D758" s="1" t="str">
        <f t="shared" si="33"/>
        <v>fev</v>
      </c>
      <c r="E758" s="1" t="str">
        <f t="shared" si="34"/>
        <v>1997</v>
      </c>
      <c r="F758" s="1">
        <v>35516</v>
      </c>
      <c r="G758" s="1">
        <v>35489</v>
      </c>
      <c r="H758">
        <v>2</v>
      </c>
      <c r="I758" t="str">
        <f t="shared" si="35"/>
        <v>USPS</v>
      </c>
      <c r="J758">
        <v>25.09</v>
      </c>
      <c r="K758" t="s">
        <v>7</v>
      </c>
      <c r="L758" t="s">
        <v>600</v>
      </c>
      <c r="M758" t="s">
        <v>601</v>
      </c>
      <c r="O758" t="s">
        <v>602</v>
      </c>
      <c r="P758" t="s">
        <v>134</v>
      </c>
    </row>
    <row r="759" spans="1:16" x14ac:dyDescent="0.25">
      <c r="A759">
        <v>10478</v>
      </c>
      <c r="B759" t="s">
        <v>598</v>
      </c>
      <c r="C759" s="1">
        <v>35507</v>
      </c>
      <c r="D759" s="1" t="str">
        <f t="shared" si="33"/>
        <v>mar</v>
      </c>
      <c r="E759" s="1" t="str">
        <f t="shared" si="34"/>
        <v>1997</v>
      </c>
      <c r="F759" s="1">
        <v>35521</v>
      </c>
      <c r="G759" s="1">
        <v>35515</v>
      </c>
      <c r="H759">
        <v>3</v>
      </c>
      <c r="I759" t="str">
        <f t="shared" si="35"/>
        <v>DHL</v>
      </c>
      <c r="J759">
        <v>4.8099999999999996</v>
      </c>
      <c r="K759" t="s">
        <v>7</v>
      </c>
      <c r="L759" t="s">
        <v>600</v>
      </c>
      <c r="M759" t="s">
        <v>601</v>
      </c>
      <c r="O759" t="s">
        <v>602</v>
      </c>
      <c r="P759" t="s">
        <v>134</v>
      </c>
    </row>
    <row r="760" spans="1:16" x14ac:dyDescent="0.25">
      <c r="A760">
        <v>10546</v>
      </c>
      <c r="B760" t="s">
        <v>598</v>
      </c>
      <c r="C760" s="1">
        <v>35573</v>
      </c>
      <c r="D760" s="1" t="str">
        <f t="shared" si="33"/>
        <v>mai</v>
      </c>
      <c r="E760" s="1" t="str">
        <f t="shared" si="34"/>
        <v>1997</v>
      </c>
      <c r="F760" s="1">
        <v>35601</v>
      </c>
      <c r="G760" s="1">
        <v>35577</v>
      </c>
      <c r="H760">
        <v>3</v>
      </c>
      <c r="I760" t="str">
        <f t="shared" si="35"/>
        <v>DHL</v>
      </c>
      <c r="J760">
        <v>194.72</v>
      </c>
      <c r="K760" t="s">
        <v>7</v>
      </c>
      <c r="L760" t="s">
        <v>600</v>
      </c>
      <c r="M760" t="s">
        <v>601</v>
      </c>
      <c r="O760" t="s">
        <v>602</v>
      </c>
      <c r="P760" t="s">
        <v>134</v>
      </c>
    </row>
    <row r="761" spans="1:16" x14ac:dyDescent="0.25">
      <c r="A761">
        <v>10806</v>
      </c>
      <c r="B761" t="s">
        <v>598</v>
      </c>
      <c r="C761" s="1">
        <v>35795</v>
      </c>
      <c r="D761" s="1" t="str">
        <f t="shared" si="33"/>
        <v>dez</v>
      </c>
      <c r="E761" s="1" t="str">
        <f t="shared" si="34"/>
        <v>1997</v>
      </c>
      <c r="F761" s="1">
        <v>35823</v>
      </c>
      <c r="G761" s="1">
        <v>35800</v>
      </c>
      <c r="H761">
        <v>2</v>
      </c>
      <c r="I761" t="str">
        <f t="shared" si="35"/>
        <v>USPS</v>
      </c>
      <c r="J761">
        <v>22.11</v>
      </c>
      <c r="K761" t="s">
        <v>7</v>
      </c>
      <c r="L761" t="s">
        <v>600</v>
      </c>
      <c r="M761" t="s">
        <v>601</v>
      </c>
      <c r="O761" t="s">
        <v>602</v>
      </c>
      <c r="P761" t="s">
        <v>134</v>
      </c>
    </row>
    <row r="762" spans="1:16" x14ac:dyDescent="0.25">
      <c r="A762">
        <v>10814</v>
      </c>
      <c r="B762" t="s">
        <v>598</v>
      </c>
      <c r="C762" s="1">
        <v>35800</v>
      </c>
      <c r="D762" s="1" t="str">
        <f t="shared" si="33"/>
        <v>jan</v>
      </c>
      <c r="E762" s="1" t="str">
        <f t="shared" si="34"/>
        <v>1998</v>
      </c>
      <c r="F762" s="1">
        <v>35828</v>
      </c>
      <c r="G762" s="1">
        <v>35809</v>
      </c>
      <c r="H762">
        <v>3</v>
      </c>
      <c r="I762" t="str">
        <f t="shared" si="35"/>
        <v>DHL</v>
      </c>
      <c r="J762">
        <v>130.94</v>
      </c>
      <c r="K762" t="s">
        <v>7</v>
      </c>
      <c r="L762" t="s">
        <v>600</v>
      </c>
      <c r="M762" t="s">
        <v>601</v>
      </c>
      <c r="O762" t="s">
        <v>602</v>
      </c>
      <c r="P762" t="s">
        <v>134</v>
      </c>
    </row>
    <row r="763" spans="1:16" x14ac:dyDescent="0.25">
      <c r="A763">
        <v>10843</v>
      </c>
      <c r="B763" t="s">
        <v>598</v>
      </c>
      <c r="C763" s="1">
        <v>35816</v>
      </c>
      <c r="D763" s="1" t="str">
        <f t="shared" si="33"/>
        <v>jan</v>
      </c>
      <c r="E763" s="1" t="str">
        <f t="shared" si="34"/>
        <v>1998</v>
      </c>
      <c r="F763" s="1">
        <v>35844</v>
      </c>
      <c r="G763" s="1">
        <v>35821</v>
      </c>
      <c r="H763">
        <v>2</v>
      </c>
      <c r="I763" t="str">
        <f t="shared" si="35"/>
        <v>USPS</v>
      </c>
      <c r="J763">
        <v>9.26</v>
      </c>
      <c r="K763" t="s">
        <v>7</v>
      </c>
      <c r="L763" t="s">
        <v>600</v>
      </c>
      <c r="M763" t="s">
        <v>601</v>
      </c>
      <c r="O763" t="s">
        <v>602</v>
      </c>
      <c r="P763" t="s">
        <v>134</v>
      </c>
    </row>
    <row r="764" spans="1:16" x14ac:dyDescent="0.25">
      <c r="A764">
        <v>10850</v>
      </c>
      <c r="B764" t="s">
        <v>598</v>
      </c>
      <c r="C764" s="1">
        <v>35818</v>
      </c>
      <c r="D764" s="1" t="str">
        <f t="shared" si="33"/>
        <v>jan</v>
      </c>
      <c r="E764" s="1" t="str">
        <f t="shared" si="34"/>
        <v>1998</v>
      </c>
      <c r="F764" s="1">
        <v>35860</v>
      </c>
      <c r="G764" s="1">
        <v>35825</v>
      </c>
      <c r="H764">
        <v>1</v>
      </c>
      <c r="I764" t="str">
        <f t="shared" si="35"/>
        <v>UPS</v>
      </c>
      <c r="J764">
        <v>49.19</v>
      </c>
      <c r="K764" t="s">
        <v>7</v>
      </c>
      <c r="L764" t="s">
        <v>600</v>
      </c>
      <c r="M764" t="s">
        <v>601</v>
      </c>
      <c r="O764" t="s">
        <v>602</v>
      </c>
      <c r="P764" t="s">
        <v>134</v>
      </c>
    </row>
    <row r="765" spans="1:16" x14ac:dyDescent="0.25">
      <c r="A765">
        <v>10274</v>
      </c>
      <c r="B765" t="s">
        <v>604</v>
      </c>
      <c r="C765" s="1">
        <v>35283</v>
      </c>
      <c r="D765" s="1" t="str">
        <f t="shared" si="33"/>
        <v>ago</v>
      </c>
      <c r="E765" s="1" t="str">
        <f t="shared" si="34"/>
        <v>1996</v>
      </c>
      <c r="F765" s="1">
        <v>35311</v>
      </c>
      <c r="G765" s="1">
        <v>35293</v>
      </c>
      <c r="H765">
        <v>1</v>
      </c>
      <c r="I765" t="str">
        <f t="shared" si="35"/>
        <v>UPS</v>
      </c>
      <c r="J765">
        <v>6.01</v>
      </c>
      <c r="K765" t="s">
        <v>2</v>
      </c>
      <c r="L765" t="s">
        <v>606</v>
      </c>
      <c r="M765" t="s">
        <v>607</v>
      </c>
      <c r="O765" t="s">
        <v>608</v>
      </c>
      <c r="P765" t="s">
        <v>134</v>
      </c>
    </row>
    <row r="766" spans="1:16" x14ac:dyDescent="0.25">
      <c r="A766">
        <v>10295</v>
      </c>
      <c r="B766" t="s">
        <v>604</v>
      </c>
      <c r="C766" s="1">
        <v>35310</v>
      </c>
      <c r="D766" s="1" t="str">
        <f t="shared" si="33"/>
        <v>set</v>
      </c>
      <c r="E766" s="1" t="str">
        <f t="shared" si="34"/>
        <v>1996</v>
      </c>
      <c r="F766" s="1">
        <v>35338</v>
      </c>
      <c r="G766" s="1">
        <v>35318</v>
      </c>
      <c r="H766">
        <v>2</v>
      </c>
      <c r="I766" t="str">
        <f t="shared" si="35"/>
        <v>USPS</v>
      </c>
      <c r="J766">
        <v>1.1499999999999999</v>
      </c>
      <c r="K766" t="s">
        <v>2</v>
      </c>
      <c r="L766" t="s">
        <v>606</v>
      </c>
      <c r="M766" t="s">
        <v>607</v>
      </c>
      <c r="O766" t="s">
        <v>608</v>
      </c>
      <c r="P766" t="s">
        <v>134</v>
      </c>
    </row>
    <row r="767" spans="1:16" x14ac:dyDescent="0.25">
      <c r="A767">
        <v>10737</v>
      </c>
      <c r="B767" t="s">
        <v>604</v>
      </c>
      <c r="C767" s="1">
        <v>35745</v>
      </c>
      <c r="D767" s="1" t="str">
        <f t="shared" si="33"/>
        <v>nov</v>
      </c>
      <c r="E767" s="1" t="str">
        <f t="shared" si="34"/>
        <v>1997</v>
      </c>
      <c r="F767" s="1">
        <v>35773</v>
      </c>
      <c r="G767" s="1">
        <v>35752</v>
      </c>
      <c r="H767">
        <v>2</v>
      </c>
      <c r="I767" t="str">
        <f t="shared" si="35"/>
        <v>USPS</v>
      </c>
      <c r="J767">
        <v>7.79</v>
      </c>
      <c r="K767" t="s">
        <v>2</v>
      </c>
      <c r="L767" t="s">
        <v>606</v>
      </c>
      <c r="M767" t="s">
        <v>607</v>
      </c>
      <c r="O767" t="s">
        <v>608</v>
      </c>
      <c r="P767" t="s">
        <v>134</v>
      </c>
    </row>
    <row r="768" spans="1:16" x14ac:dyDescent="0.25">
      <c r="A768">
        <v>10739</v>
      </c>
      <c r="B768" t="s">
        <v>604</v>
      </c>
      <c r="C768" s="1">
        <v>35746</v>
      </c>
      <c r="D768" s="1" t="str">
        <f t="shared" si="33"/>
        <v>nov</v>
      </c>
      <c r="E768" s="1" t="str">
        <f t="shared" si="34"/>
        <v>1997</v>
      </c>
      <c r="F768" s="1">
        <v>35774</v>
      </c>
      <c r="G768" s="1">
        <v>35751</v>
      </c>
      <c r="H768">
        <v>3</v>
      </c>
      <c r="I768" t="str">
        <f t="shared" si="35"/>
        <v>DHL</v>
      </c>
      <c r="J768">
        <v>11.08</v>
      </c>
      <c r="K768" t="s">
        <v>2</v>
      </c>
      <c r="L768" t="s">
        <v>606</v>
      </c>
      <c r="M768" t="s">
        <v>607</v>
      </c>
      <c r="O768" t="s">
        <v>608</v>
      </c>
      <c r="P768" t="s">
        <v>134</v>
      </c>
    </row>
    <row r="769" spans="1:16" x14ac:dyDescent="0.25">
      <c r="A769">
        <v>10301</v>
      </c>
      <c r="B769" t="s">
        <v>610</v>
      </c>
      <c r="C769" s="1">
        <v>35317</v>
      </c>
      <c r="D769" s="1" t="str">
        <f t="shared" si="33"/>
        <v>set</v>
      </c>
      <c r="E769" s="1" t="str">
        <f t="shared" si="34"/>
        <v>1996</v>
      </c>
      <c r="F769" s="1">
        <v>35345</v>
      </c>
      <c r="G769" s="1">
        <v>35325</v>
      </c>
      <c r="H769">
        <v>2</v>
      </c>
      <c r="I769" t="str">
        <f t="shared" si="35"/>
        <v>USPS</v>
      </c>
      <c r="J769">
        <v>45.08</v>
      </c>
      <c r="K769" t="s">
        <v>6</v>
      </c>
      <c r="L769" t="s">
        <v>612</v>
      </c>
      <c r="M769" t="s">
        <v>613</v>
      </c>
      <c r="O769" t="s">
        <v>614</v>
      </c>
      <c r="P769" t="s">
        <v>94</v>
      </c>
    </row>
    <row r="770" spans="1:16" x14ac:dyDescent="0.25">
      <c r="A770">
        <v>10312</v>
      </c>
      <c r="B770" t="s">
        <v>610</v>
      </c>
      <c r="C770" s="1">
        <v>35331</v>
      </c>
      <c r="D770" s="1" t="str">
        <f t="shared" si="33"/>
        <v>set</v>
      </c>
      <c r="E770" s="1" t="str">
        <f t="shared" si="34"/>
        <v>1996</v>
      </c>
      <c r="F770" s="1">
        <v>35359</v>
      </c>
      <c r="G770" s="1">
        <v>35341</v>
      </c>
      <c r="H770">
        <v>2</v>
      </c>
      <c r="I770" t="str">
        <f t="shared" si="35"/>
        <v>USPS</v>
      </c>
      <c r="J770">
        <v>40.26</v>
      </c>
      <c r="K770" t="s">
        <v>6</v>
      </c>
      <c r="L770" t="s">
        <v>612</v>
      </c>
      <c r="M770" t="s">
        <v>613</v>
      </c>
      <c r="O770" t="s">
        <v>614</v>
      </c>
      <c r="P770" t="s">
        <v>94</v>
      </c>
    </row>
    <row r="771" spans="1:16" x14ac:dyDescent="0.25">
      <c r="A771">
        <v>10348</v>
      </c>
      <c r="B771" t="s">
        <v>610</v>
      </c>
      <c r="C771" s="1">
        <v>35376</v>
      </c>
      <c r="D771" s="1" t="str">
        <f t="shared" ref="D771:D831" si="36">TEXT(C771,"mmm")</f>
        <v>nov</v>
      </c>
      <c r="E771" s="1" t="str">
        <f t="shared" ref="E771:E831" si="37">TEXT(C771,"aaa")</f>
        <v>1996</v>
      </c>
      <c r="F771" s="1">
        <v>35404</v>
      </c>
      <c r="G771" s="1">
        <v>35384</v>
      </c>
      <c r="H771">
        <v>2</v>
      </c>
      <c r="I771" t="str">
        <f t="shared" ref="I771:I831" si="38">CHOOSE(H771,"UPS","USPS","DHL")</f>
        <v>USPS</v>
      </c>
      <c r="J771">
        <v>0.78</v>
      </c>
      <c r="K771" t="s">
        <v>6</v>
      </c>
      <c r="L771" t="s">
        <v>612</v>
      </c>
      <c r="M771" t="s">
        <v>613</v>
      </c>
      <c r="O771" t="s">
        <v>614</v>
      </c>
      <c r="P771" t="s">
        <v>94</v>
      </c>
    </row>
    <row r="772" spans="1:16" x14ac:dyDescent="0.25">
      <c r="A772">
        <v>10356</v>
      </c>
      <c r="B772" t="s">
        <v>610</v>
      </c>
      <c r="C772" s="1">
        <v>35387</v>
      </c>
      <c r="D772" s="1" t="str">
        <f t="shared" si="36"/>
        <v>nov</v>
      </c>
      <c r="E772" s="1" t="str">
        <f t="shared" si="37"/>
        <v>1996</v>
      </c>
      <c r="F772" s="1">
        <v>35415</v>
      </c>
      <c r="G772" s="1">
        <v>35396</v>
      </c>
      <c r="H772">
        <v>2</v>
      </c>
      <c r="I772" t="str">
        <f t="shared" si="38"/>
        <v>USPS</v>
      </c>
      <c r="J772">
        <v>36.71</v>
      </c>
      <c r="K772" t="s">
        <v>6</v>
      </c>
      <c r="L772" t="s">
        <v>612</v>
      </c>
      <c r="M772" t="s">
        <v>613</v>
      </c>
      <c r="O772" t="s">
        <v>614</v>
      </c>
      <c r="P772" t="s">
        <v>94</v>
      </c>
    </row>
    <row r="773" spans="1:16" x14ac:dyDescent="0.25">
      <c r="A773">
        <v>10513</v>
      </c>
      <c r="B773" t="s">
        <v>610</v>
      </c>
      <c r="C773" s="1">
        <v>35542</v>
      </c>
      <c r="D773" s="1" t="str">
        <f t="shared" si="36"/>
        <v>abr</v>
      </c>
      <c r="E773" s="1" t="str">
        <f t="shared" si="37"/>
        <v>1997</v>
      </c>
      <c r="F773" s="1">
        <v>35584</v>
      </c>
      <c r="G773" s="1">
        <v>35548</v>
      </c>
      <c r="H773">
        <v>1</v>
      </c>
      <c r="I773" t="str">
        <f t="shared" si="38"/>
        <v>UPS</v>
      </c>
      <c r="J773">
        <v>105.65</v>
      </c>
      <c r="K773" t="s">
        <v>6</v>
      </c>
      <c r="L773" t="s">
        <v>612</v>
      </c>
      <c r="M773" t="s">
        <v>613</v>
      </c>
      <c r="O773" t="s">
        <v>614</v>
      </c>
      <c r="P773" t="s">
        <v>94</v>
      </c>
    </row>
    <row r="774" spans="1:16" x14ac:dyDescent="0.25">
      <c r="A774">
        <v>10632</v>
      </c>
      <c r="B774" t="s">
        <v>610</v>
      </c>
      <c r="C774" s="1">
        <v>35656</v>
      </c>
      <c r="D774" s="1" t="str">
        <f t="shared" si="36"/>
        <v>ago</v>
      </c>
      <c r="E774" s="1" t="str">
        <f t="shared" si="37"/>
        <v>1997</v>
      </c>
      <c r="F774" s="1">
        <v>35684</v>
      </c>
      <c r="G774" s="1">
        <v>35661</v>
      </c>
      <c r="H774">
        <v>1</v>
      </c>
      <c r="I774" t="str">
        <f t="shared" si="38"/>
        <v>UPS</v>
      </c>
      <c r="J774">
        <v>41.38</v>
      </c>
      <c r="K774" t="s">
        <v>6</v>
      </c>
      <c r="L774" t="s">
        <v>612</v>
      </c>
      <c r="M774" t="s">
        <v>613</v>
      </c>
      <c r="O774" t="s">
        <v>614</v>
      </c>
      <c r="P774" t="s">
        <v>94</v>
      </c>
    </row>
    <row r="775" spans="1:16" x14ac:dyDescent="0.25">
      <c r="A775">
        <v>10640</v>
      </c>
      <c r="B775" t="s">
        <v>610</v>
      </c>
      <c r="C775" s="1">
        <v>35663</v>
      </c>
      <c r="D775" s="1" t="str">
        <f t="shared" si="36"/>
        <v>ago</v>
      </c>
      <c r="E775" s="1" t="str">
        <f t="shared" si="37"/>
        <v>1997</v>
      </c>
      <c r="F775" s="1">
        <v>35691</v>
      </c>
      <c r="G775" s="1">
        <v>35670</v>
      </c>
      <c r="H775">
        <v>1</v>
      </c>
      <c r="I775" t="str">
        <f t="shared" si="38"/>
        <v>UPS</v>
      </c>
      <c r="J775">
        <v>23.55</v>
      </c>
      <c r="K775" t="s">
        <v>6</v>
      </c>
      <c r="L775" t="s">
        <v>612</v>
      </c>
      <c r="M775" t="s">
        <v>613</v>
      </c>
      <c r="O775" t="s">
        <v>614</v>
      </c>
      <c r="P775" t="s">
        <v>94</v>
      </c>
    </row>
    <row r="776" spans="1:16" x14ac:dyDescent="0.25">
      <c r="A776">
        <v>10651</v>
      </c>
      <c r="B776" t="s">
        <v>610</v>
      </c>
      <c r="C776" s="1">
        <v>35674</v>
      </c>
      <c r="D776" s="1" t="str">
        <f t="shared" si="36"/>
        <v>set</v>
      </c>
      <c r="E776" s="1" t="str">
        <f t="shared" si="37"/>
        <v>1997</v>
      </c>
      <c r="F776" s="1">
        <v>35702</v>
      </c>
      <c r="G776" s="1">
        <v>35684</v>
      </c>
      <c r="H776">
        <v>2</v>
      </c>
      <c r="I776" t="str">
        <f t="shared" si="38"/>
        <v>USPS</v>
      </c>
      <c r="J776">
        <v>20.6</v>
      </c>
      <c r="K776" t="s">
        <v>6</v>
      </c>
      <c r="L776" t="s">
        <v>612</v>
      </c>
      <c r="M776" t="s">
        <v>613</v>
      </c>
      <c r="O776" t="s">
        <v>614</v>
      </c>
      <c r="P776" t="s">
        <v>94</v>
      </c>
    </row>
    <row r="777" spans="1:16" x14ac:dyDescent="0.25">
      <c r="A777">
        <v>10668</v>
      </c>
      <c r="B777" t="s">
        <v>610</v>
      </c>
      <c r="C777" s="1">
        <v>35688</v>
      </c>
      <c r="D777" s="1" t="str">
        <f t="shared" si="36"/>
        <v>set</v>
      </c>
      <c r="E777" s="1" t="str">
        <f t="shared" si="37"/>
        <v>1997</v>
      </c>
      <c r="F777" s="1">
        <v>35716</v>
      </c>
      <c r="G777" s="1">
        <v>35696</v>
      </c>
      <c r="H777">
        <v>2</v>
      </c>
      <c r="I777" t="str">
        <f t="shared" si="38"/>
        <v>USPS</v>
      </c>
      <c r="J777">
        <v>47.22</v>
      </c>
      <c r="K777" t="s">
        <v>6</v>
      </c>
      <c r="L777" t="s">
        <v>612</v>
      </c>
      <c r="M777" t="s">
        <v>613</v>
      </c>
      <c r="O777" t="s">
        <v>614</v>
      </c>
      <c r="P777" t="s">
        <v>94</v>
      </c>
    </row>
    <row r="778" spans="1:16" x14ac:dyDescent="0.25">
      <c r="A778">
        <v>11046</v>
      </c>
      <c r="B778" t="s">
        <v>610</v>
      </c>
      <c r="C778" s="1">
        <v>35908</v>
      </c>
      <c r="D778" s="1" t="str">
        <f t="shared" si="36"/>
        <v>abr</v>
      </c>
      <c r="E778" s="1" t="str">
        <f t="shared" si="37"/>
        <v>1998</v>
      </c>
      <c r="F778" s="1">
        <v>35936</v>
      </c>
      <c r="G778" s="1">
        <v>35909</v>
      </c>
      <c r="H778">
        <v>2</v>
      </c>
      <c r="I778" t="str">
        <f t="shared" si="38"/>
        <v>USPS</v>
      </c>
      <c r="J778">
        <v>71.64</v>
      </c>
      <c r="K778" t="s">
        <v>6</v>
      </c>
      <c r="L778" t="s">
        <v>612</v>
      </c>
      <c r="M778" t="s">
        <v>613</v>
      </c>
      <c r="O778" t="s">
        <v>614</v>
      </c>
      <c r="P778" t="s">
        <v>94</v>
      </c>
    </row>
    <row r="779" spans="1:16" x14ac:dyDescent="0.25">
      <c r="A779">
        <v>10266</v>
      </c>
      <c r="B779" t="s">
        <v>616</v>
      </c>
      <c r="C779" s="1">
        <v>35272</v>
      </c>
      <c r="D779" s="1" t="str">
        <f t="shared" si="36"/>
        <v>jul</v>
      </c>
      <c r="E779" s="1" t="str">
        <f t="shared" si="37"/>
        <v>1996</v>
      </c>
      <c r="F779" s="1">
        <v>35314</v>
      </c>
      <c r="G779" s="1">
        <v>35277</v>
      </c>
      <c r="H779">
        <v>3</v>
      </c>
      <c r="I779" t="str">
        <f t="shared" si="38"/>
        <v>DHL</v>
      </c>
      <c r="J779">
        <v>25.73</v>
      </c>
      <c r="K779" t="s">
        <v>5</v>
      </c>
      <c r="L779" t="s">
        <v>618</v>
      </c>
      <c r="M779" t="s">
        <v>619</v>
      </c>
      <c r="O779" t="s">
        <v>620</v>
      </c>
      <c r="P779" t="s">
        <v>621</v>
      </c>
    </row>
    <row r="780" spans="1:16" x14ac:dyDescent="0.25">
      <c r="A780">
        <v>10270</v>
      </c>
      <c r="B780" t="s">
        <v>616</v>
      </c>
      <c r="C780" s="1">
        <v>35278</v>
      </c>
      <c r="D780" s="1" t="str">
        <f t="shared" si="36"/>
        <v>ago</v>
      </c>
      <c r="E780" s="1" t="str">
        <f t="shared" si="37"/>
        <v>1996</v>
      </c>
      <c r="F780" s="1">
        <v>35306</v>
      </c>
      <c r="G780" s="1">
        <v>35279</v>
      </c>
      <c r="H780">
        <v>1</v>
      </c>
      <c r="I780" t="str">
        <f t="shared" si="38"/>
        <v>UPS</v>
      </c>
      <c r="J780">
        <v>136.54</v>
      </c>
      <c r="K780" t="s">
        <v>5</v>
      </c>
      <c r="L780" t="s">
        <v>618</v>
      </c>
      <c r="M780" t="s">
        <v>619</v>
      </c>
      <c r="O780" t="s">
        <v>620</v>
      </c>
      <c r="P780" t="s">
        <v>621</v>
      </c>
    </row>
    <row r="781" spans="1:16" x14ac:dyDescent="0.25">
      <c r="A781">
        <v>10320</v>
      </c>
      <c r="B781" t="s">
        <v>616</v>
      </c>
      <c r="C781" s="1">
        <v>35341</v>
      </c>
      <c r="D781" s="1" t="str">
        <f t="shared" si="36"/>
        <v>out</v>
      </c>
      <c r="E781" s="1" t="str">
        <f t="shared" si="37"/>
        <v>1996</v>
      </c>
      <c r="F781" s="1">
        <v>35355</v>
      </c>
      <c r="G781" s="1">
        <v>35356</v>
      </c>
      <c r="H781">
        <v>3</v>
      </c>
      <c r="I781" t="str">
        <f t="shared" si="38"/>
        <v>DHL</v>
      </c>
      <c r="J781">
        <v>34.57</v>
      </c>
      <c r="K781" t="s">
        <v>5</v>
      </c>
      <c r="L781" t="s">
        <v>618</v>
      </c>
      <c r="M781" t="s">
        <v>619</v>
      </c>
      <c r="O781" t="s">
        <v>620</v>
      </c>
      <c r="P781" t="s">
        <v>621</v>
      </c>
    </row>
    <row r="782" spans="1:16" x14ac:dyDescent="0.25">
      <c r="A782">
        <v>10333</v>
      </c>
      <c r="B782" t="s">
        <v>616</v>
      </c>
      <c r="C782" s="1">
        <v>35356</v>
      </c>
      <c r="D782" s="1" t="str">
        <f t="shared" si="36"/>
        <v>out</v>
      </c>
      <c r="E782" s="1" t="str">
        <f t="shared" si="37"/>
        <v>1996</v>
      </c>
      <c r="F782" s="1">
        <v>35384</v>
      </c>
      <c r="G782" s="1">
        <v>35363</v>
      </c>
      <c r="H782">
        <v>3</v>
      </c>
      <c r="I782" t="str">
        <f t="shared" si="38"/>
        <v>DHL</v>
      </c>
      <c r="J782">
        <v>0.59</v>
      </c>
      <c r="K782" t="s">
        <v>5</v>
      </c>
      <c r="L782" t="s">
        <v>618</v>
      </c>
      <c r="M782" t="s">
        <v>619</v>
      </c>
      <c r="O782" t="s">
        <v>620</v>
      </c>
      <c r="P782" t="s">
        <v>621</v>
      </c>
    </row>
    <row r="783" spans="1:16" x14ac:dyDescent="0.25">
      <c r="A783">
        <v>10412</v>
      </c>
      <c r="B783" t="s">
        <v>616</v>
      </c>
      <c r="C783" s="1">
        <v>35443</v>
      </c>
      <c r="D783" s="1" t="str">
        <f t="shared" si="36"/>
        <v>jan</v>
      </c>
      <c r="E783" s="1" t="str">
        <f t="shared" si="37"/>
        <v>1997</v>
      </c>
      <c r="F783" s="1">
        <v>35471</v>
      </c>
      <c r="G783" s="1">
        <v>35445</v>
      </c>
      <c r="H783">
        <v>2</v>
      </c>
      <c r="I783" t="str">
        <f t="shared" si="38"/>
        <v>USPS</v>
      </c>
      <c r="J783">
        <v>3.77</v>
      </c>
      <c r="K783" t="s">
        <v>5</v>
      </c>
      <c r="L783" t="s">
        <v>618</v>
      </c>
      <c r="M783" t="s">
        <v>619</v>
      </c>
      <c r="O783" t="s">
        <v>620</v>
      </c>
      <c r="P783" t="s">
        <v>621</v>
      </c>
    </row>
    <row r="784" spans="1:16" x14ac:dyDescent="0.25">
      <c r="A784">
        <v>10416</v>
      </c>
      <c r="B784" t="s">
        <v>616</v>
      </c>
      <c r="C784" s="1">
        <v>35446</v>
      </c>
      <c r="D784" s="1" t="str">
        <f t="shared" si="36"/>
        <v>jan</v>
      </c>
      <c r="E784" s="1" t="str">
        <f t="shared" si="37"/>
        <v>1997</v>
      </c>
      <c r="F784" s="1">
        <v>35474</v>
      </c>
      <c r="G784" s="1">
        <v>35457</v>
      </c>
      <c r="H784">
        <v>3</v>
      </c>
      <c r="I784" t="str">
        <f t="shared" si="38"/>
        <v>DHL</v>
      </c>
      <c r="J784">
        <v>22.72</v>
      </c>
      <c r="K784" t="s">
        <v>5</v>
      </c>
      <c r="L784" t="s">
        <v>618</v>
      </c>
      <c r="M784" t="s">
        <v>619</v>
      </c>
      <c r="O784" t="s">
        <v>620</v>
      </c>
      <c r="P784" t="s">
        <v>621</v>
      </c>
    </row>
    <row r="785" spans="1:16" x14ac:dyDescent="0.25">
      <c r="A785">
        <v>10437</v>
      </c>
      <c r="B785" t="s">
        <v>616</v>
      </c>
      <c r="C785" s="1">
        <v>35466</v>
      </c>
      <c r="D785" s="1" t="str">
        <f t="shared" si="36"/>
        <v>fev</v>
      </c>
      <c r="E785" s="1" t="str">
        <f t="shared" si="37"/>
        <v>1997</v>
      </c>
      <c r="F785" s="1">
        <v>35494</v>
      </c>
      <c r="G785" s="1">
        <v>35473</v>
      </c>
      <c r="H785">
        <v>1</v>
      </c>
      <c r="I785" t="str">
        <f t="shared" si="38"/>
        <v>UPS</v>
      </c>
      <c r="J785">
        <v>19.97</v>
      </c>
      <c r="K785" t="s">
        <v>5</v>
      </c>
      <c r="L785" t="s">
        <v>618</v>
      </c>
      <c r="M785" t="s">
        <v>619</v>
      </c>
      <c r="O785" t="s">
        <v>620</v>
      </c>
      <c r="P785" t="s">
        <v>621</v>
      </c>
    </row>
    <row r="786" spans="1:16" x14ac:dyDescent="0.25">
      <c r="A786">
        <v>10455</v>
      </c>
      <c r="B786" t="s">
        <v>616</v>
      </c>
      <c r="C786" s="1">
        <v>35485</v>
      </c>
      <c r="D786" s="1" t="str">
        <f t="shared" si="36"/>
        <v>fev</v>
      </c>
      <c r="E786" s="1" t="str">
        <f t="shared" si="37"/>
        <v>1997</v>
      </c>
      <c r="F786" s="1">
        <v>35527</v>
      </c>
      <c r="G786" s="1">
        <v>35492</v>
      </c>
      <c r="H786">
        <v>2</v>
      </c>
      <c r="I786" t="str">
        <f t="shared" si="38"/>
        <v>USPS</v>
      </c>
      <c r="J786">
        <v>180.45</v>
      </c>
      <c r="K786" t="s">
        <v>5</v>
      </c>
      <c r="L786" t="s">
        <v>618</v>
      </c>
      <c r="M786" t="s">
        <v>619</v>
      </c>
      <c r="O786" t="s">
        <v>620</v>
      </c>
      <c r="P786" t="s">
        <v>621</v>
      </c>
    </row>
    <row r="787" spans="1:16" x14ac:dyDescent="0.25">
      <c r="A787">
        <v>10526</v>
      </c>
      <c r="B787" t="s">
        <v>616</v>
      </c>
      <c r="C787" s="1">
        <v>35555</v>
      </c>
      <c r="D787" s="1" t="str">
        <f t="shared" si="36"/>
        <v>mai</v>
      </c>
      <c r="E787" s="1" t="str">
        <f t="shared" si="37"/>
        <v>1997</v>
      </c>
      <c r="F787" s="1">
        <v>35583</v>
      </c>
      <c r="G787" s="1">
        <v>35565</v>
      </c>
      <c r="H787">
        <v>2</v>
      </c>
      <c r="I787" t="str">
        <f t="shared" si="38"/>
        <v>USPS</v>
      </c>
      <c r="J787">
        <v>58.59</v>
      </c>
      <c r="K787" t="s">
        <v>5</v>
      </c>
      <c r="L787" t="s">
        <v>618</v>
      </c>
      <c r="M787" t="s">
        <v>619</v>
      </c>
      <c r="O787" t="s">
        <v>620</v>
      </c>
      <c r="P787" t="s">
        <v>621</v>
      </c>
    </row>
    <row r="788" spans="1:16" x14ac:dyDescent="0.25">
      <c r="A788">
        <v>10553</v>
      </c>
      <c r="B788" t="s">
        <v>616</v>
      </c>
      <c r="C788" s="1">
        <v>35580</v>
      </c>
      <c r="D788" s="1" t="str">
        <f t="shared" si="36"/>
        <v>mai</v>
      </c>
      <c r="E788" s="1" t="str">
        <f t="shared" si="37"/>
        <v>1997</v>
      </c>
      <c r="F788" s="1">
        <v>35608</v>
      </c>
      <c r="G788" s="1">
        <v>35584</v>
      </c>
      <c r="H788">
        <v>2</v>
      </c>
      <c r="I788" t="str">
        <f t="shared" si="38"/>
        <v>USPS</v>
      </c>
      <c r="J788">
        <v>149.49</v>
      </c>
      <c r="K788" t="s">
        <v>5</v>
      </c>
      <c r="L788" t="s">
        <v>618</v>
      </c>
      <c r="M788" t="s">
        <v>619</v>
      </c>
      <c r="O788" t="s">
        <v>620</v>
      </c>
      <c r="P788" t="s">
        <v>621</v>
      </c>
    </row>
    <row r="789" spans="1:16" x14ac:dyDescent="0.25">
      <c r="A789">
        <v>10583</v>
      </c>
      <c r="B789" t="s">
        <v>616</v>
      </c>
      <c r="C789" s="1">
        <v>35611</v>
      </c>
      <c r="D789" s="1" t="str">
        <f t="shared" si="36"/>
        <v>jun</v>
      </c>
      <c r="E789" s="1" t="str">
        <f t="shared" si="37"/>
        <v>1997</v>
      </c>
      <c r="F789" s="1">
        <v>35639</v>
      </c>
      <c r="G789" s="1">
        <v>35615</v>
      </c>
      <c r="H789">
        <v>2</v>
      </c>
      <c r="I789" t="str">
        <f t="shared" si="38"/>
        <v>USPS</v>
      </c>
      <c r="J789">
        <v>7.28</v>
      </c>
      <c r="K789" t="s">
        <v>5</v>
      </c>
      <c r="L789" t="s">
        <v>618</v>
      </c>
      <c r="M789" t="s">
        <v>619</v>
      </c>
      <c r="O789" t="s">
        <v>620</v>
      </c>
      <c r="P789" t="s">
        <v>621</v>
      </c>
    </row>
    <row r="790" spans="1:16" x14ac:dyDescent="0.25">
      <c r="A790">
        <v>10636</v>
      </c>
      <c r="B790" t="s">
        <v>616</v>
      </c>
      <c r="C790" s="1">
        <v>35661</v>
      </c>
      <c r="D790" s="1" t="str">
        <f t="shared" si="36"/>
        <v>ago</v>
      </c>
      <c r="E790" s="1" t="str">
        <f t="shared" si="37"/>
        <v>1997</v>
      </c>
      <c r="F790" s="1">
        <v>35689</v>
      </c>
      <c r="G790" s="1">
        <v>35668</v>
      </c>
      <c r="H790">
        <v>1</v>
      </c>
      <c r="I790" t="str">
        <f t="shared" si="38"/>
        <v>UPS</v>
      </c>
      <c r="J790">
        <v>1.1499999999999999</v>
      </c>
      <c r="K790" t="s">
        <v>5</v>
      </c>
      <c r="L790" t="s">
        <v>618</v>
      </c>
      <c r="M790" t="s">
        <v>619</v>
      </c>
      <c r="O790" t="s">
        <v>620</v>
      </c>
      <c r="P790" t="s">
        <v>621</v>
      </c>
    </row>
    <row r="791" spans="1:16" x14ac:dyDescent="0.25">
      <c r="A791">
        <v>10750</v>
      </c>
      <c r="B791" t="s">
        <v>616</v>
      </c>
      <c r="C791" s="1">
        <v>35755</v>
      </c>
      <c r="D791" s="1" t="str">
        <f t="shared" si="36"/>
        <v>nov</v>
      </c>
      <c r="E791" s="1" t="str">
        <f t="shared" si="37"/>
        <v>1997</v>
      </c>
      <c r="F791" s="1">
        <v>35783</v>
      </c>
      <c r="G791" s="1">
        <v>35758</v>
      </c>
      <c r="H791">
        <v>1</v>
      </c>
      <c r="I791" t="str">
        <f t="shared" si="38"/>
        <v>UPS</v>
      </c>
      <c r="J791">
        <v>79.3</v>
      </c>
      <c r="K791" t="s">
        <v>5</v>
      </c>
      <c r="L791" t="s">
        <v>618</v>
      </c>
      <c r="M791" t="s">
        <v>619</v>
      </c>
      <c r="O791" t="s">
        <v>620</v>
      </c>
      <c r="P791" t="s">
        <v>621</v>
      </c>
    </row>
    <row r="792" spans="1:16" x14ac:dyDescent="0.25">
      <c r="A792">
        <v>10781</v>
      </c>
      <c r="B792" t="s">
        <v>616</v>
      </c>
      <c r="C792" s="1">
        <v>35781</v>
      </c>
      <c r="D792" s="1" t="str">
        <f t="shared" si="36"/>
        <v>dez</v>
      </c>
      <c r="E792" s="1" t="str">
        <f t="shared" si="37"/>
        <v>1997</v>
      </c>
      <c r="F792" s="1">
        <v>35809</v>
      </c>
      <c r="G792" s="1">
        <v>35783</v>
      </c>
      <c r="H792">
        <v>3</v>
      </c>
      <c r="I792" t="str">
        <f t="shared" si="38"/>
        <v>DHL</v>
      </c>
      <c r="J792">
        <v>73.16</v>
      </c>
      <c r="K792" t="s">
        <v>5</v>
      </c>
      <c r="L792" t="s">
        <v>618</v>
      </c>
      <c r="M792" t="s">
        <v>619</v>
      </c>
      <c r="O792" t="s">
        <v>620</v>
      </c>
      <c r="P792" t="s">
        <v>621</v>
      </c>
    </row>
    <row r="793" spans="1:16" x14ac:dyDescent="0.25">
      <c r="A793">
        <v>11025</v>
      </c>
      <c r="B793" t="s">
        <v>616</v>
      </c>
      <c r="C793" s="1">
        <v>35900</v>
      </c>
      <c r="D793" s="1" t="str">
        <f t="shared" si="36"/>
        <v>abr</v>
      </c>
      <c r="E793" s="1" t="str">
        <f t="shared" si="37"/>
        <v>1998</v>
      </c>
      <c r="F793" s="1">
        <v>35928</v>
      </c>
      <c r="G793" s="1">
        <v>35909</v>
      </c>
      <c r="H793">
        <v>3</v>
      </c>
      <c r="I793" t="str">
        <f t="shared" si="38"/>
        <v>DHL</v>
      </c>
      <c r="J793">
        <v>29.17</v>
      </c>
      <c r="K793" t="s">
        <v>5</v>
      </c>
      <c r="L793" t="s">
        <v>618</v>
      </c>
      <c r="M793" t="s">
        <v>619</v>
      </c>
      <c r="O793" t="s">
        <v>620</v>
      </c>
      <c r="P793" t="s">
        <v>621</v>
      </c>
    </row>
    <row r="794" spans="1:16" x14ac:dyDescent="0.25">
      <c r="A794">
        <v>10256</v>
      </c>
      <c r="B794" t="s">
        <v>623</v>
      </c>
      <c r="C794" s="1">
        <v>35261</v>
      </c>
      <c r="D794" s="1" t="str">
        <f t="shared" si="36"/>
        <v>jul</v>
      </c>
      <c r="E794" s="1" t="str">
        <f t="shared" si="37"/>
        <v>1996</v>
      </c>
      <c r="F794" s="1">
        <v>35289</v>
      </c>
      <c r="G794" s="1">
        <v>35263</v>
      </c>
      <c r="H794">
        <v>2</v>
      </c>
      <c r="I794" t="str">
        <f t="shared" si="38"/>
        <v>USPS</v>
      </c>
      <c r="J794">
        <v>13.97</v>
      </c>
      <c r="K794" t="s">
        <v>4</v>
      </c>
      <c r="L794" t="s">
        <v>625</v>
      </c>
      <c r="M794" t="s">
        <v>626</v>
      </c>
      <c r="N794" t="s">
        <v>187</v>
      </c>
      <c r="O794" t="s">
        <v>627</v>
      </c>
      <c r="P794" t="s">
        <v>189</v>
      </c>
    </row>
    <row r="795" spans="1:16" x14ac:dyDescent="0.25">
      <c r="A795">
        <v>10420</v>
      </c>
      <c r="B795" t="s">
        <v>623</v>
      </c>
      <c r="C795" s="1">
        <v>35451</v>
      </c>
      <c r="D795" s="1" t="str">
        <f t="shared" si="36"/>
        <v>jan</v>
      </c>
      <c r="E795" s="1" t="str">
        <f t="shared" si="37"/>
        <v>1997</v>
      </c>
      <c r="F795" s="1">
        <v>35479</v>
      </c>
      <c r="G795" s="1">
        <v>35457</v>
      </c>
      <c r="H795">
        <v>1</v>
      </c>
      <c r="I795" t="str">
        <f t="shared" si="38"/>
        <v>UPS</v>
      </c>
      <c r="J795">
        <v>44.12</v>
      </c>
      <c r="K795" t="s">
        <v>4</v>
      </c>
      <c r="L795" t="s">
        <v>625</v>
      </c>
      <c r="M795" t="s">
        <v>626</v>
      </c>
      <c r="N795" t="s">
        <v>187</v>
      </c>
      <c r="O795" t="s">
        <v>627</v>
      </c>
      <c r="P795" t="s">
        <v>189</v>
      </c>
    </row>
    <row r="796" spans="1:16" x14ac:dyDescent="0.25">
      <c r="A796">
        <v>10585</v>
      </c>
      <c r="B796" t="s">
        <v>623</v>
      </c>
      <c r="C796" s="1">
        <v>35612</v>
      </c>
      <c r="D796" s="1" t="str">
        <f t="shared" si="36"/>
        <v>jul</v>
      </c>
      <c r="E796" s="1" t="str">
        <f t="shared" si="37"/>
        <v>1997</v>
      </c>
      <c r="F796" s="1">
        <v>35640</v>
      </c>
      <c r="G796" s="1">
        <v>35621</v>
      </c>
      <c r="H796">
        <v>1</v>
      </c>
      <c r="I796" t="str">
        <f t="shared" si="38"/>
        <v>UPS</v>
      </c>
      <c r="J796">
        <v>13.41</v>
      </c>
      <c r="K796" t="s">
        <v>4</v>
      </c>
      <c r="L796" t="s">
        <v>625</v>
      </c>
      <c r="M796" t="s">
        <v>626</v>
      </c>
      <c r="N796" t="s">
        <v>187</v>
      </c>
      <c r="O796" t="s">
        <v>627</v>
      </c>
      <c r="P796" t="s">
        <v>189</v>
      </c>
    </row>
    <row r="797" spans="1:16" x14ac:dyDescent="0.25">
      <c r="A797">
        <v>10644</v>
      </c>
      <c r="B797" t="s">
        <v>623</v>
      </c>
      <c r="C797" s="1">
        <v>35667</v>
      </c>
      <c r="D797" s="1" t="str">
        <f t="shared" si="36"/>
        <v>ago</v>
      </c>
      <c r="E797" s="1" t="str">
        <f t="shared" si="37"/>
        <v>1997</v>
      </c>
      <c r="F797" s="1">
        <v>35695</v>
      </c>
      <c r="G797" s="1">
        <v>35674</v>
      </c>
      <c r="H797">
        <v>2</v>
      </c>
      <c r="I797" t="str">
        <f t="shared" si="38"/>
        <v>USPS</v>
      </c>
      <c r="J797">
        <v>0.14000000000000001</v>
      </c>
      <c r="K797" t="s">
        <v>4</v>
      </c>
      <c r="L797" t="s">
        <v>625</v>
      </c>
      <c r="M797" t="s">
        <v>626</v>
      </c>
      <c r="N797" t="s">
        <v>187</v>
      </c>
      <c r="O797" t="s">
        <v>627</v>
      </c>
      <c r="P797" t="s">
        <v>189</v>
      </c>
    </row>
    <row r="798" spans="1:16" x14ac:dyDescent="0.25">
      <c r="A798">
        <v>10803</v>
      </c>
      <c r="B798" t="s">
        <v>623</v>
      </c>
      <c r="C798" s="1">
        <v>35794</v>
      </c>
      <c r="D798" s="1" t="str">
        <f t="shared" si="36"/>
        <v>dez</v>
      </c>
      <c r="E798" s="1" t="str">
        <f t="shared" si="37"/>
        <v>1997</v>
      </c>
      <c r="F798" s="1">
        <v>35822</v>
      </c>
      <c r="G798" s="1">
        <v>35801</v>
      </c>
      <c r="H798">
        <v>1</v>
      </c>
      <c r="I798" t="str">
        <f t="shared" si="38"/>
        <v>UPS</v>
      </c>
      <c r="J798">
        <v>55.23</v>
      </c>
      <c r="K798" t="s">
        <v>4</v>
      </c>
      <c r="L798" t="s">
        <v>625</v>
      </c>
      <c r="M798" t="s">
        <v>626</v>
      </c>
      <c r="N798" t="s">
        <v>187</v>
      </c>
      <c r="O798" t="s">
        <v>627</v>
      </c>
      <c r="P798" t="s">
        <v>189</v>
      </c>
    </row>
    <row r="799" spans="1:16" x14ac:dyDescent="0.25">
      <c r="A799">
        <v>10809</v>
      </c>
      <c r="B799" t="s">
        <v>623</v>
      </c>
      <c r="C799" s="1">
        <v>35796</v>
      </c>
      <c r="D799" s="1" t="str">
        <f t="shared" si="36"/>
        <v>jan</v>
      </c>
      <c r="E799" s="1" t="str">
        <f t="shared" si="37"/>
        <v>1998</v>
      </c>
      <c r="F799" s="1">
        <v>35824</v>
      </c>
      <c r="G799" s="1">
        <v>35802</v>
      </c>
      <c r="H799">
        <v>1</v>
      </c>
      <c r="I799" t="str">
        <f t="shared" si="38"/>
        <v>UPS</v>
      </c>
      <c r="J799">
        <v>4.87</v>
      </c>
      <c r="K799" t="s">
        <v>4</v>
      </c>
      <c r="L799" t="s">
        <v>625</v>
      </c>
      <c r="M799" t="s">
        <v>626</v>
      </c>
      <c r="N799" t="s">
        <v>187</v>
      </c>
      <c r="O799" t="s">
        <v>627</v>
      </c>
      <c r="P799" t="s">
        <v>189</v>
      </c>
    </row>
    <row r="800" spans="1:16" x14ac:dyDescent="0.25">
      <c r="A800">
        <v>10900</v>
      </c>
      <c r="B800" t="s">
        <v>623</v>
      </c>
      <c r="C800" s="1">
        <v>35846</v>
      </c>
      <c r="D800" s="1" t="str">
        <f t="shared" si="36"/>
        <v>fev</v>
      </c>
      <c r="E800" s="1" t="str">
        <f t="shared" si="37"/>
        <v>1998</v>
      </c>
      <c r="F800" s="1">
        <v>35874</v>
      </c>
      <c r="G800" s="1">
        <v>35858</v>
      </c>
      <c r="H800">
        <v>2</v>
      </c>
      <c r="I800" t="str">
        <f t="shared" si="38"/>
        <v>USPS</v>
      </c>
      <c r="J800">
        <v>1.66</v>
      </c>
      <c r="K800" t="s">
        <v>4</v>
      </c>
      <c r="L800" t="s">
        <v>625</v>
      </c>
      <c r="M800" t="s">
        <v>626</v>
      </c>
      <c r="N800" t="s">
        <v>187</v>
      </c>
      <c r="O800" t="s">
        <v>627</v>
      </c>
      <c r="P800" t="s">
        <v>189</v>
      </c>
    </row>
    <row r="801" spans="1:16" x14ac:dyDescent="0.25">
      <c r="A801">
        <v>10905</v>
      </c>
      <c r="B801" t="s">
        <v>623</v>
      </c>
      <c r="C801" s="1">
        <v>35850</v>
      </c>
      <c r="D801" s="1" t="str">
        <f t="shared" si="36"/>
        <v>fev</v>
      </c>
      <c r="E801" s="1" t="str">
        <f t="shared" si="37"/>
        <v>1998</v>
      </c>
      <c r="F801" s="1">
        <v>35878</v>
      </c>
      <c r="G801" s="1">
        <v>35860</v>
      </c>
      <c r="H801">
        <v>2</v>
      </c>
      <c r="I801" t="str">
        <f t="shared" si="38"/>
        <v>USPS</v>
      </c>
      <c r="J801">
        <v>13.72</v>
      </c>
      <c r="K801" t="s">
        <v>4</v>
      </c>
      <c r="L801" t="s">
        <v>625</v>
      </c>
      <c r="M801" t="s">
        <v>626</v>
      </c>
      <c r="N801" t="s">
        <v>187</v>
      </c>
      <c r="O801" t="s">
        <v>627</v>
      </c>
      <c r="P801" t="s">
        <v>189</v>
      </c>
    </row>
    <row r="802" spans="1:16" x14ac:dyDescent="0.25">
      <c r="A802">
        <v>10935</v>
      </c>
      <c r="B802" t="s">
        <v>623</v>
      </c>
      <c r="C802" s="1">
        <v>35863</v>
      </c>
      <c r="D802" s="1" t="str">
        <f t="shared" si="36"/>
        <v>mar</v>
      </c>
      <c r="E802" s="1" t="str">
        <f t="shared" si="37"/>
        <v>1998</v>
      </c>
      <c r="F802" s="1">
        <v>35891</v>
      </c>
      <c r="G802" s="1">
        <v>35872</v>
      </c>
      <c r="H802">
        <v>3</v>
      </c>
      <c r="I802" t="str">
        <f t="shared" si="38"/>
        <v>DHL</v>
      </c>
      <c r="J802">
        <v>47.59</v>
      </c>
      <c r="K802" t="s">
        <v>4</v>
      </c>
      <c r="L802" t="s">
        <v>625</v>
      </c>
      <c r="M802" t="s">
        <v>626</v>
      </c>
      <c r="N802" t="s">
        <v>187</v>
      </c>
      <c r="O802" t="s">
        <v>627</v>
      </c>
      <c r="P802" t="s">
        <v>189</v>
      </c>
    </row>
    <row r="803" spans="1:16" x14ac:dyDescent="0.25">
      <c r="A803">
        <v>10269</v>
      </c>
      <c r="B803" t="s">
        <v>629</v>
      </c>
      <c r="C803" s="1">
        <v>35277</v>
      </c>
      <c r="D803" s="1" t="str">
        <f t="shared" si="36"/>
        <v>jul</v>
      </c>
      <c r="E803" s="1" t="str">
        <f t="shared" si="37"/>
        <v>1996</v>
      </c>
      <c r="F803" s="1">
        <v>35291</v>
      </c>
      <c r="G803" s="1">
        <v>35286</v>
      </c>
      <c r="H803">
        <v>1</v>
      </c>
      <c r="I803" t="str">
        <f t="shared" si="38"/>
        <v>UPS</v>
      </c>
      <c r="J803">
        <v>4.5599999999999996</v>
      </c>
      <c r="K803" t="s">
        <v>3</v>
      </c>
      <c r="L803" t="s">
        <v>669</v>
      </c>
      <c r="M803" t="s">
        <v>632</v>
      </c>
      <c r="N803" t="s">
        <v>359</v>
      </c>
      <c r="O803" t="s">
        <v>670</v>
      </c>
      <c r="P803" t="s">
        <v>290</v>
      </c>
    </row>
    <row r="804" spans="1:16" x14ac:dyDescent="0.25">
      <c r="A804">
        <v>10344</v>
      </c>
      <c r="B804" t="s">
        <v>629</v>
      </c>
      <c r="C804" s="1">
        <v>35370</v>
      </c>
      <c r="D804" s="1" t="str">
        <f t="shared" si="36"/>
        <v>nov</v>
      </c>
      <c r="E804" s="1" t="str">
        <f t="shared" si="37"/>
        <v>1996</v>
      </c>
      <c r="F804" s="1">
        <v>35398</v>
      </c>
      <c r="G804" s="1">
        <v>35374</v>
      </c>
      <c r="H804">
        <v>2</v>
      </c>
      <c r="I804" t="str">
        <f t="shared" si="38"/>
        <v>USPS</v>
      </c>
      <c r="J804">
        <v>23.29</v>
      </c>
      <c r="K804" t="s">
        <v>3</v>
      </c>
      <c r="L804" t="s">
        <v>669</v>
      </c>
      <c r="M804" t="s">
        <v>632</v>
      </c>
      <c r="N804" t="s">
        <v>359</v>
      </c>
      <c r="O804" t="s">
        <v>670</v>
      </c>
      <c r="P804" t="s">
        <v>290</v>
      </c>
    </row>
    <row r="805" spans="1:16" x14ac:dyDescent="0.25">
      <c r="A805">
        <v>10469</v>
      </c>
      <c r="B805" t="s">
        <v>629</v>
      </c>
      <c r="C805" s="1">
        <v>35499</v>
      </c>
      <c r="D805" s="1" t="str">
        <f t="shared" si="36"/>
        <v>mar</v>
      </c>
      <c r="E805" s="1" t="str">
        <f t="shared" si="37"/>
        <v>1997</v>
      </c>
      <c r="F805" s="1">
        <v>35527</v>
      </c>
      <c r="G805" s="1">
        <v>35503</v>
      </c>
      <c r="H805">
        <v>1</v>
      </c>
      <c r="I805" t="str">
        <f t="shared" si="38"/>
        <v>UPS</v>
      </c>
      <c r="J805">
        <v>60.18</v>
      </c>
      <c r="K805" t="s">
        <v>3</v>
      </c>
      <c r="L805" t="s">
        <v>669</v>
      </c>
      <c r="M805" t="s">
        <v>632</v>
      </c>
      <c r="N805" t="s">
        <v>359</v>
      </c>
      <c r="O805" t="s">
        <v>670</v>
      </c>
      <c r="P805" t="s">
        <v>290</v>
      </c>
    </row>
    <row r="806" spans="1:16" x14ac:dyDescent="0.25">
      <c r="A806">
        <v>10483</v>
      </c>
      <c r="B806" t="s">
        <v>629</v>
      </c>
      <c r="C806" s="1">
        <v>35513</v>
      </c>
      <c r="D806" s="1" t="str">
        <f t="shared" si="36"/>
        <v>mar</v>
      </c>
      <c r="E806" s="1" t="str">
        <f t="shared" si="37"/>
        <v>1997</v>
      </c>
      <c r="F806" s="1">
        <v>35541</v>
      </c>
      <c r="G806" s="1">
        <v>35545</v>
      </c>
      <c r="H806">
        <v>2</v>
      </c>
      <c r="I806" t="str">
        <f t="shared" si="38"/>
        <v>USPS</v>
      </c>
      <c r="J806">
        <v>15.28</v>
      </c>
      <c r="K806" t="s">
        <v>3</v>
      </c>
      <c r="L806" t="s">
        <v>669</v>
      </c>
      <c r="M806" t="s">
        <v>632</v>
      </c>
      <c r="N806" t="s">
        <v>359</v>
      </c>
      <c r="O806" t="s">
        <v>670</v>
      </c>
      <c r="P806" t="s">
        <v>290</v>
      </c>
    </row>
    <row r="807" spans="1:16" x14ac:dyDescent="0.25">
      <c r="A807">
        <v>10504</v>
      </c>
      <c r="B807" t="s">
        <v>629</v>
      </c>
      <c r="C807" s="1">
        <v>35531</v>
      </c>
      <c r="D807" s="1" t="str">
        <f t="shared" si="36"/>
        <v>abr</v>
      </c>
      <c r="E807" s="1" t="str">
        <f t="shared" si="37"/>
        <v>1997</v>
      </c>
      <c r="F807" s="1">
        <v>35559</v>
      </c>
      <c r="G807" s="1">
        <v>35538</v>
      </c>
      <c r="H807">
        <v>3</v>
      </c>
      <c r="I807" t="str">
        <f t="shared" si="38"/>
        <v>DHL</v>
      </c>
      <c r="J807">
        <v>59.13</v>
      </c>
      <c r="K807" t="s">
        <v>3</v>
      </c>
      <c r="L807" t="s">
        <v>669</v>
      </c>
      <c r="M807" t="s">
        <v>632</v>
      </c>
      <c r="N807" t="s">
        <v>359</v>
      </c>
      <c r="O807" t="s">
        <v>670</v>
      </c>
      <c r="P807" t="s">
        <v>290</v>
      </c>
    </row>
    <row r="808" spans="1:16" x14ac:dyDescent="0.25">
      <c r="A808">
        <v>10596</v>
      </c>
      <c r="B808" t="s">
        <v>629</v>
      </c>
      <c r="C808" s="1">
        <v>35622</v>
      </c>
      <c r="D808" s="1" t="str">
        <f t="shared" si="36"/>
        <v>jul</v>
      </c>
      <c r="E808" s="1" t="str">
        <f t="shared" si="37"/>
        <v>1997</v>
      </c>
      <c r="F808" s="1">
        <v>35650</v>
      </c>
      <c r="G808" s="1">
        <v>35654</v>
      </c>
      <c r="H808">
        <v>1</v>
      </c>
      <c r="I808" t="str">
        <f t="shared" si="38"/>
        <v>UPS</v>
      </c>
      <c r="J808">
        <v>16.34</v>
      </c>
      <c r="K808" t="s">
        <v>3</v>
      </c>
      <c r="L808" t="s">
        <v>669</v>
      </c>
      <c r="M808" t="s">
        <v>632</v>
      </c>
      <c r="N808" t="s">
        <v>359</v>
      </c>
      <c r="O808" t="s">
        <v>670</v>
      </c>
      <c r="P808" t="s">
        <v>290</v>
      </c>
    </row>
    <row r="809" spans="1:16" x14ac:dyDescent="0.25">
      <c r="A809">
        <v>10693</v>
      </c>
      <c r="B809" t="s">
        <v>629</v>
      </c>
      <c r="C809" s="1">
        <v>35709</v>
      </c>
      <c r="D809" s="1" t="str">
        <f t="shared" si="36"/>
        <v>out</v>
      </c>
      <c r="E809" s="1" t="str">
        <f t="shared" si="37"/>
        <v>1997</v>
      </c>
      <c r="F809" s="1">
        <v>35723</v>
      </c>
      <c r="G809" s="1">
        <v>35713</v>
      </c>
      <c r="H809">
        <v>3</v>
      </c>
      <c r="I809" t="str">
        <f t="shared" si="38"/>
        <v>DHL</v>
      </c>
      <c r="J809">
        <v>139.34</v>
      </c>
      <c r="K809" t="s">
        <v>3</v>
      </c>
      <c r="L809" t="s">
        <v>669</v>
      </c>
      <c r="M809" t="s">
        <v>632</v>
      </c>
      <c r="N809" t="s">
        <v>359</v>
      </c>
      <c r="O809" t="s">
        <v>670</v>
      </c>
      <c r="P809" t="s">
        <v>290</v>
      </c>
    </row>
    <row r="810" spans="1:16" x14ac:dyDescent="0.25">
      <c r="A810">
        <v>10696</v>
      </c>
      <c r="B810" t="s">
        <v>629</v>
      </c>
      <c r="C810" s="1">
        <v>35711</v>
      </c>
      <c r="D810" s="1" t="str">
        <f t="shared" si="36"/>
        <v>out</v>
      </c>
      <c r="E810" s="1" t="str">
        <f t="shared" si="37"/>
        <v>1997</v>
      </c>
      <c r="F810" s="1">
        <v>35753</v>
      </c>
      <c r="G810" s="1">
        <v>35717</v>
      </c>
      <c r="H810">
        <v>3</v>
      </c>
      <c r="I810" t="str">
        <f t="shared" si="38"/>
        <v>DHL</v>
      </c>
      <c r="J810">
        <v>102.55</v>
      </c>
      <c r="K810" t="s">
        <v>3</v>
      </c>
      <c r="L810" t="s">
        <v>669</v>
      </c>
      <c r="M810" t="s">
        <v>632</v>
      </c>
      <c r="N810" t="s">
        <v>359</v>
      </c>
      <c r="O810" t="s">
        <v>670</v>
      </c>
      <c r="P810" t="s">
        <v>290</v>
      </c>
    </row>
    <row r="811" spans="1:16" x14ac:dyDescent="0.25">
      <c r="A811">
        <v>10723</v>
      </c>
      <c r="B811" t="s">
        <v>629</v>
      </c>
      <c r="C811" s="1">
        <v>35733</v>
      </c>
      <c r="D811" s="1" t="str">
        <f t="shared" si="36"/>
        <v>out</v>
      </c>
      <c r="E811" s="1" t="str">
        <f t="shared" si="37"/>
        <v>1997</v>
      </c>
      <c r="F811" s="1">
        <v>35761</v>
      </c>
      <c r="G811" s="1">
        <v>35759</v>
      </c>
      <c r="H811">
        <v>1</v>
      </c>
      <c r="I811" t="str">
        <f t="shared" si="38"/>
        <v>UPS</v>
      </c>
      <c r="J811">
        <v>21.72</v>
      </c>
      <c r="K811" t="s">
        <v>3</v>
      </c>
      <c r="L811" t="s">
        <v>669</v>
      </c>
      <c r="M811" t="s">
        <v>632</v>
      </c>
      <c r="N811" t="s">
        <v>359</v>
      </c>
      <c r="O811" t="s">
        <v>670</v>
      </c>
      <c r="P811" t="s">
        <v>290</v>
      </c>
    </row>
    <row r="812" spans="1:16" x14ac:dyDescent="0.25">
      <c r="A812">
        <v>10740</v>
      </c>
      <c r="B812" t="s">
        <v>629</v>
      </c>
      <c r="C812" s="1">
        <v>35747</v>
      </c>
      <c r="D812" s="1" t="str">
        <f t="shared" si="36"/>
        <v>nov</v>
      </c>
      <c r="E812" s="1" t="str">
        <f t="shared" si="37"/>
        <v>1997</v>
      </c>
      <c r="F812" s="1">
        <v>35775</v>
      </c>
      <c r="G812" s="1">
        <v>35759</v>
      </c>
      <c r="H812">
        <v>2</v>
      </c>
      <c r="I812" t="str">
        <f t="shared" si="38"/>
        <v>USPS</v>
      </c>
      <c r="J812">
        <v>81.88</v>
      </c>
      <c r="K812" t="s">
        <v>3</v>
      </c>
      <c r="L812" t="s">
        <v>669</v>
      </c>
      <c r="M812" t="s">
        <v>632</v>
      </c>
      <c r="N812" t="s">
        <v>359</v>
      </c>
      <c r="O812" t="s">
        <v>670</v>
      </c>
      <c r="P812" t="s">
        <v>290</v>
      </c>
    </row>
    <row r="813" spans="1:16" x14ac:dyDescent="0.25">
      <c r="A813">
        <v>10861</v>
      </c>
      <c r="B813" t="s">
        <v>629</v>
      </c>
      <c r="C813" s="1">
        <v>35825</v>
      </c>
      <c r="D813" s="1" t="str">
        <f t="shared" si="36"/>
        <v>jan</v>
      </c>
      <c r="E813" s="1" t="str">
        <f t="shared" si="37"/>
        <v>1998</v>
      </c>
      <c r="F813" s="1">
        <v>35853</v>
      </c>
      <c r="G813" s="1">
        <v>35843</v>
      </c>
      <c r="H813">
        <v>2</v>
      </c>
      <c r="I813" t="str">
        <f t="shared" si="38"/>
        <v>USPS</v>
      </c>
      <c r="J813">
        <v>14.93</v>
      </c>
      <c r="K813" t="s">
        <v>3</v>
      </c>
      <c r="L813" t="s">
        <v>669</v>
      </c>
      <c r="M813" t="s">
        <v>632</v>
      </c>
      <c r="N813" t="s">
        <v>359</v>
      </c>
      <c r="O813" t="s">
        <v>670</v>
      </c>
      <c r="P813" t="s">
        <v>290</v>
      </c>
    </row>
    <row r="814" spans="1:16" x14ac:dyDescent="0.25">
      <c r="A814">
        <v>10904</v>
      </c>
      <c r="B814" t="s">
        <v>629</v>
      </c>
      <c r="C814" s="1">
        <v>35850</v>
      </c>
      <c r="D814" s="1" t="str">
        <f t="shared" si="36"/>
        <v>fev</v>
      </c>
      <c r="E814" s="1" t="str">
        <f t="shared" si="37"/>
        <v>1998</v>
      </c>
      <c r="F814" s="1">
        <v>35878</v>
      </c>
      <c r="G814" s="1">
        <v>35853</v>
      </c>
      <c r="H814">
        <v>3</v>
      </c>
      <c r="I814" t="str">
        <f t="shared" si="38"/>
        <v>DHL</v>
      </c>
      <c r="J814">
        <v>162.94999999999999</v>
      </c>
      <c r="K814" t="s">
        <v>3</v>
      </c>
      <c r="L814" t="s">
        <v>669</v>
      </c>
      <c r="M814" t="s">
        <v>632</v>
      </c>
      <c r="N814" t="s">
        <v>359</v>
      </c>
      <c r="O814" t="s">
        <v>670</v>
      </c>
      <c r="P814" t="s">
        <v>290</v>
      </c>
    </row>
    <row r="815" spans="1:16" x14ac:dyDescent="0.25">
      <c r="A815">
        <v>11032</v>
      </c>
      <c r="B815" t="s">
        <v>629</v>
      </c>
      <c r="C815" s="1">
        <v>35902</v>
      </c>
      <c r="D815" s="1" t="str">
        <f t="shared" si="36"/>
        <v>abr</v>
      </c>
      <c r="E815" s="1" t="str">
        <f t="shared" si="37"/>
        <v>1998</v>
      </c>
      <c r="F815" s="1">
        <v>35930</v>
      </c>
      <c r="G815" s="1">
        <v>35908</v>
      </c>
      <c r="H815">
        <v>3</v>
      </c>
      <c r="I815" t="str">
        <f t="shared" si="38"/>
        <v>DHL</v>
      </c>
      <c r="J815">
        <v>606.19000000000005</v>
      </c>
      <c r="K815" t="s">
        <v>3</v>
      </c>
      <c r="L815" t="s">
        <v>669</v>
      </c>
      <c r="M815" t="s">
        <v>632</v>
      </c>
      <c r="N815" t="s">
        <v>359</v>
      </c>
      <c r="O815" t="s">
        <v>670</v>
      </c>
      <c r="P815" t="s">
        <v>290</v>
      </c>
    </row>
    <row r="816" spans="1:16" x14ac:dyDescent="0.25">
      <c r="A816">
        <v>11066</v>
      </c>
      <c r="B816" t="s">
        <v>629</v>
      </c>
      <c r="C816" s="1">
        <v>35916</v>
      </c>
      <c r="D816" s="1" t="str">
        <f t="shared" si="36"/>
        <v>mai</v>
      </c>
      <c r="E816" s="1" t="str">
        <f t="shared" si="37"/>
        <v>1998</v>
      </c>
      <c r="F816" s="1">
        <v>35944</v>
      </c>
      <c r="G816" s="1">
        <v>35919</v>
      </c>
      <c r="H816">
        <v>2</v>
      </c>
      <c r="I816" t="str">
        <f t="shared" si="38"/>
        <v>USPS</v>
      </c>
      <c r="J816">
        <v>44.72</v>
      </c>
      <c r="K816" t="s">
        <v>3</v>
      </c>
      <c r="L816" t="s">
        <v>669</v>
      </c>
      <c r="M816" t="s">
        <v>632</v>
      </c>
      <c r="N816" t="s">
        <v>359</v>
      </c>
      <c r="O816" t="s">
        <v>670</v>
      </c>
      <c r="P816" t="s">
        <v>290</v>
      </c>
    </row>
    <row r="817" spans="1:16" x14ac:dyDescent="0.25">
      <c r="A817">
        <v>10248</v>
      </c>
      <c r="B817" t="s">
        <v>635</v>
      </c>
      <c r="C817" s="1">
        <v>35250</v>
      </c>
      <c r="D817" s="1" t="str">
        <f t="shared" si="36"/>
        <v>jul</v>
      </c>
      <c r="E817" s="1" t="str">
        <f t="shared" si="37"/>
        <v>1996</v>
      </c>
      <c r="F817" s="1">
        <v>35278</v>
      </c>
      <c r="G817" s="1">
        <v>35262</v>
      </c>
      <c r="H817">
        <v>3</v>
      </c>
      <c r="I817" t="str">
        <f t="shared" si="38"/>
        <v>DHL</v>
      </c>
      <c r="J817">
        <v>32.380000000000003</v>
      </c>
      <c r="K817" t="s">
        <v>2</v>
      </c>
      <c r="L817" t="s">
        <v>606</v>
      </c>
      <c r="M817" t="s">
        <v>607</v>
      </c>
      <c r="O817" t="s">
        <v>608</v>
      </c>
      <c r="P817" t="s">
        <v>134</v>
      </c>
    </row>
    <row r="818" spans="1:16" x14ac:dyDescent="0.25">
      <c r="A818">
        <v>10615</v>
      </c>
      <c r="B818" t="s">
        <v>635</v>
      </c>
      <c r="C818" s="1">
        <v>35641</v>
      </c>
      <c r="D818" s="1" t="str">
        <f t="shared" si="36"/>
        <v>jul</v>
      </c>
      <c r="E818" s="1" t="str">
        <f t="shared" si="37"/>
        <v>1997</v>
      </c>
      <c r="F818" s="1">
        <v>35669</v>
      </c>
      <c r="G818" s="1">
        <v>35648</v>
      </c>
      <c r="H818">
        <v>3</v>
      </c>
      <c r="I818" t="str">
        <f t="shared" si="38"/>
        <v>DHL</v>
      </c>
      <c r="J818">
        <v>0.75</v>
      </c>
      <c r="K818" t="s">
        <v>1</v>
      </c>
      <c r="L818" t="s">
        <v>638</v>
      </c>
      <c r="M818" t="s">
        <v>639</v>
      </c>
      <c r="O818" t="s">
        <v>640</v>
      </c>
      <c r="P818" t="s">
        <v>621</v>
      </c>
    </row>
    <row r="819" spans="1:16" x14ac:dyDescent="0.25">
      <c r="A819">
        <v>10673</v>
      </c>
      <c r="B819" t="s">
        <v>635</v>
      </c>
      <c r="C819" s="1">
        <v>35691</v>
      </c>
      <c r="D819" s="1" t="str">
        <f t="shared" si="36"/>
        <v>set</v>
      </c>
      <c r="E819" s="1" t="str">
        <f t="shared" si="37"/>
        <v>1997</v>
      </c>
      <c r="F819" s="1">
        <v>35719</v>
      </c>
      <c r="G819" s="1">
        <v>35692</v>
      </c>
      <c r="H819">
        <v>1</v>
      </c>
      <c r="I819" t="str">
        <f t="shared" si="38"/>
        <v>UPS</v>
      </c>
      <c r="J819">
        <v>22.76</v>
      </c>
      <c r="K819" t="s">
        <v>1</v>
      </c>
      <c r="L819" t="s">
        <v>638</v>
      </c>
      <c r="M819" t="s">
        <v>639</v>
      </c>
      <c r="O819" t="s">
        <v>640</v>
      </c>
      <c r="P819" t="s">
        <v>621</v>
      </c>
    </row>
    <row r="820" spans="1:16" x14ac:dyDescent="0.25">
      <c r="A820">
        <v>10695</v>
      </c>
      <c r="B820" t="s">
        <v>635</v>
      </c>
      <c r="C820" s="1">
        <v>35710</v>
      </c>
      <c r="D820" s="1" t="str">
        <f t="shared" si="36"/>
        <v>out</v>
      </c>
      <c r="E820" s="1" t="str">
        <f t="shared" si="37"/>
        <v>1997</v>
      </c>
      <c r="F820" s="1">
        <v>35752</v>
      </c>
      <c r="G820" s="1">
        <v>35717</v>
      </c>
      <c r="H820">
        <v>1</v>
      </c>
      <c r="I820" t="str">
        <f t="shared" si="38"/>
        <v>UPS</v>
      </c>
      <c r="J820">
        <v>16.72</v>
      </c>
      <c r="K820" t="s">
        <v>1</v>
      </c>
      <c r="L820" t="s">
        <v>638</v>
      </c>
      <c r="M820" t="s">
        <v>639</v>
      </c>
      <c r="O820" t="s">
        <v>640</v>
      </c>
      <c r="P820" t="s">
        <v>621</v>
      </c>
    </row>
    <row r="821" spans="1:16" x14ac:dyDescent="0.25">
      <c r="A821">
        <v>10873</v>
      </c>
      <c r="B821" t="s">
        <v>635</v>
      </c>
      <c r="C821" s="1">
        <v>35832</v>
      </c>
      <c r="D821" s="1" t="str">
        <f t="shared" si="36"/>
        <v>fev</v>
      </c>
      <c r="E821" s="1" t="str">
        <f t="shared" si="37"/>
        <v>1998</v>
      </c>
      <c r="F821" s="1">
        <v>35860</v>
      </c>
      <c r="G821" s="1">
        <v>35835</v>
      </c>
      <c r="H821">
        <v>1</v>
      </c>
      <c r="I821" t="str">
        <f t="shared" si="38"/>
        <v>UPS</v>
      </c>
      <c r="J821">
        <v>0.82</v>
      </c>
      <c r="K821" t="s">
        <v>1</v>
      </c>
      <c r="L821" t="s">
        <v>638</v>
      </c>
      <c r="M821" t="s">
        <v>639</v>
      </c>
      <c r="O821" t="s">
        <v>640</v>
      </c>
      <c r="P821" t="s">
        <v>621</v>
      </c>
    </row>
    <row r="822" spans="1:16" x14ac:dyDescent="0.25">
      <c r="A822">
        <v>10879</v>
      </c>
      <c r="B822" t="s">
        <v>635</v>
      </c>
      <c r="C822" s="1">
        <v>35836</v>
      </c>
      <c r="D822" s="1" t="str">
        <f t="shared" si="36"/>
        <v>fev</v>
      </c>
      <c r="E822" s="1" t="str">
        <f t="shared" si="37"/>
        <v>1998</v>
      </c>
      <c r="F822" s="1">
        <v>35864</v>
      </c>
      <c r="G822" s="1">
        <v>35838</v>
      </c>
      <c r="H822">
        <v>3</v>
      </c>
      <c r="I822" t="str">
        <f t="shared" si="38"/>
        <v>DHL</v>
      </c>
      <c r="J822">
        <v>8.5</v>
      </c>
      <c r="K822" t="s">
        <v>1</v>
      </c>
      <c r="L822" t="s">
        <v>638</v>
      </c>
      <c r="M822" t="s">
        <v>639</v>
      </c>
      <c r="O822" t="s">
        <v>640</v>
      </c>
      <c r="P822" t="s">
        <v>621</v>
      </c>
    </row>
    <row r="823" spans="1:16" x14ac:dyDescent="0.25">
      <c r="A823">
        <v>10910</v>
      </c>
      <c r="B823" t="s">
        <v>635</v>
      </c>
      <c r="C823" s="1">
        <v>35852</v>
      </c>
      <c r="D823" s="1" t="str">
        <f t="shared" si="36"/>
        <v>fev</v>
      </c>
      <c r="E823" s="1" t="str">
        <f t="shared" si="37"/>
        <v>1998</v>
      </c>
      <c r="F823" s="1">
        <v>35880</v>
      </c>
      <c r="G823" s="1">
        <v>35858</v>
      </c>
      <c r="H823">
        <v>3</v>
      </c>
      <c r="I823" t="str">
        <f t="shared" si="38"/>
        <v>DHL</v>
      </c>
      <c r="J823">
        <v>38.11</v>
      </c>
      <c r="K823" t="s">
        <v>1</v>
      </c>
      <c r="L823" t="s">
        <v>638</v>
      </c>
      <c r="M823" t="s">
        <v>639</v>
      </c>
      <c r="O823" t="s">
        <v>640</v>
      </c>
      <c r="P823" t="s">
        <v>621</v>
      </c>
    </row>
    <row r="824" spans="1:16" x14ac:dyDescent="0.25">
      <c r="A824">
        <v>11005</v>
      </c>
      <c r="B824" t="s">
        <v>635</v>
      </c>
      <c r="C824" s="1">
        <v>35892</v>
      </c>
      <c r="D824" s="1" t="str">
        <f t="shared" si="36"/>
        <v>abr</v>
      </c>
      <c r="E824" s="1" t="str">
        <f t="shared" si="37"/>
        <v>1998</v>
      </c>
      <c r="F824" s="1">
        <v>35920</v>
      </c>
      <c r="G824" s="1">
        <v>35895</v>
      </c>
      <c r="H824">
        <v>1</v>
      </c>
      <c r="I824" t="str">
        <f t="shared" si="38"/>
        <v>UPS</v>
      </c>
      <c r="J824">
        <v>0.75</v>
      </c>
      <c r="K824" t="s">
        <v>1</v>
      </c>
      <c r="L824" t="s">
        <v>638</v>
      </c>
      <c r="M824" t="s">
        <v>639</v>
      </c>
      <c r="O824" t="s">
        <v>640</v>
      </c>
      <c r="P824" t="s">
        <v>621</v>
      </c>
    </row>
    <row r="825" spans="1:16" x14ac:dyDescent="0.25">
      <c r="A825">
        <v>10374</v>
      </c>
      <c r="B825" t="s">
        <v>642</v>
      </c>
      <c r="C825" s="1">
        <v>35404</v>
      </c>
      <c r="D825" s="1" t="str">
        <f t="shared" si="36"/>
        <v>dez</v>
      </c>
      <c r="E825" s="1" t="str">
        <f t="shared" si="37"/>
        <v>1996</v>
      </c>
      <c r="F825" s="1">
        <v>35432</v>
      </c>
      <c r="G825" s="1">
        <v>35408</v>
      </c>
      <c r="H825">
        <v>3</v>
      </c>
      <c r="I825" t="str">
        <f t="shared" si="38"/>
        <v>DHL</v>
      </c>
      <c r="J825">
        <v>3.94</v>
      </c>
      <c r="K825" t="s">
        <v>0</v>
      </c>
      <c r="L825" t="s">
        <v>644</v>
      </c>
      <c r="M825" t="s">
        <v>645</v>
      </c>
      <c r="O825" t="s">
        <v>646</v>
      </c>
      <c r="P825" t="s">
        <v>647</v>
      </c>
    </row>
    <row r="826" spans="1:16" x14ac:dyDescent="0.25">
      <c r="A826">
        <v>10611</v>
      </c>
      <c r="B826" t="s">
        <v>642</v>
      </c>
      <c r="C826" s="1">
        <v>35636</v>
      </c>
      <c r="D826" s="1" t="str">
        <f t="shared" si="36"/>
        <v>jul</v>
      </c>
      <c r="E826" s="1" t="str">
        <f t="shared" si="37"/>
        <v>1997</v>
      </c>
      <c r="F826" s="1">
        <v>35664</v>
      </c>
      <c r="G826" s="1">
        <v>35643</v>
      </c>
      <c r="H826">
        <v>2</v>
      </c>
      <c r="I826" t="str">
        <f t="shared" si="38"/>
        <v>USPS</v>
      </c>
      <c r="J826">
        <v>80.650000000000006</v>
      </c>
      <c r="K826" t="s">
        <v>0</v>
      </c>
      <c r="L826" t="s">
        <v>644</v>
      </c>
      <c r="M826" t="s">
        <v>645</v>
      </c>
      <c r="O826" t="s">
        <v>646</v>
      </c>
      <c r="P826" t="s">
        <v>647</v>
      </c>
    </row>
    <row r="827" spans="1:16" x14ac:dyDescent="0.25">
      <c r="A827">
        <v>10792</v>
      </c>
      <c r="B827" t="s">
        <v>642</v>
      </c>
      <c r="C827" s="1">
        <v>35787</v>
      </c>
      <c r="D827" s="1" t="str">
        <f t="shared" si="36"/>
        <v>dez</v>
      </c>
      <c r="E827" s="1" t="str">
        <f t="shared" si="37"/>
        <v>1997</v>
      </c>
      <c r="F827" s="1">
        <v>35815</v>
      </c>
      <c r="G827" s="1">
        <v>35795</v>
      </c>
      <c r="H827">
        <v>3</v>
      </c>
      <c r="I827" t="str">
        <f t="shared" si="38"/>
        <v>DHL</v>
      </c>
      <c r="J827">
        <v>23.79</v>
      </c>
      <c r="K827" t="s">
        <v>0</v>
      </c>
      <c r="L827" t="s">
        <v>644</v>
      </c>
      <c r="M827" t="s">
        <v>645</v>
      </c>
      <c r="O827" t="s">
        <v>646</v>
      </c>
      <c r="P827" t="s">
        <v>647</v>
      </c>
    </row>
    <row r="828" spans="1:16" x14ac:dyDescent="0.25">
      <c r="A828">
        <v>10870</v>
      </c>
      <c r="B828" t="s">
        <v>642</v>
      </c>
      <c r="C828" s="1">
        <v>35830</v>
      </c>
      <c r="D828" s="1" t="str">
        <f t="shared" si="36"/>
        <v>fev</v>
      </c>
      <c r="E828" s="1" t="str">
        <f t="shared" si="37"/>
        <v>1998</v>
      </c>
      <c r="F828" s="1">
        <v>35858</v>
      </c>
      <c r="G828" s="1">
        <v>35839</v>
      </c>
      <c r="H828">
        <v>3</v>
      </c>
      <c r="I828" t="str">
        <f t="shared" si="38"/>
        <v>DHL</v>
      </c>
      <c r="J828">
        <v>12.04</v>
      </c>
      <c r="K828" t="s">
        <v>0</v>
      </c>
      <c r="L828" t="s">
        <v>644</v>
      </c>
      <c r="M828" t="s">
        <v>645</v>
      </c>
      <c r="O828" t="s">
        <v>646</v>
      </c>
      <c r="P828" t="s">
        <v>647</v>
      </c>
    </row>
    <row r="829" spans="1:16" x14ac:dyDescent="0.25">
      <c r="A829">
        <v>10906</v>
      </c>
      <c r="B829" t="s">
        <v>642</v>
      </c>
      <c r="C829" s="1">
        <v>35851</v>
      </c>
      <c r="D829" s="1" t="str">
        <f t="shared" si="36"/>
        <v>fev</v>
      </c>
      <c r="E829" s="1" t="str">
        <f t="shared" si="37"/>
        <v>1998</v>
      </c>
      <c r="F829" s="1">
        <v>35865</v>
      </c>
      <c r="G829" s="1">
        <v>35857</v>
      </c>
      <c r="H829">
        <v>3</v>
      </c>
      <c r="I829" t="str">
        <f t="shared" si="38"/>
        <v>DHL</v>
      </c>
      <c r="J829">
        <v>26.29</v>
      </c>
      <c r="K829" t="s">
        <v>0</v>
      </c>
      <c r="L829" t="s">
        <v>644</v>
      </c>
      <c r="M829" t="s">
        <v>645</v>
      </c>
      <c r="O829" t="s">
        <v>646</v>
      </c>
      <c r="P829" t="s">
        <v>647</v>
      </c>
    </row>
    <row r="830" spans="1:16" x14ac:dyDescent="0.25">
      <c r="A830">
        <v>10998</v>
      </c>
      <c r="B830" t="s">
        <v>642</v>
      </c>
      <c r="C830" s="1">
        <v>35888</v>
      </c>
      <c r="D830" s="1" t="str">
        <f t="shared" si="36"/>
        <v>abr</v>
      </c>
      <c r="E830" s="1" t="str">
        <f t="shared" si="37"/>
        <v>1998</v>
      </c>
      <c r="F830" s="1">
        <v>35902</v>
      </c>
      <c r="G830" s="1">
        <v>35902</v>
      </c>
      <c r="H830">
        <v>2</v>
      </c>
      <c r="I830" t="str">
        <f t="shared" si="38"/>
        <v>USPS</v>
      </c>
      <c r="J830">
        <v>20.309999999999999</v>
      </c>
      <c r="K830" t="s">
        <v>0</v>
      </c>
      <c r="L830" t="s">
        <v>644</v>
      </c>
      <c r="M830" t="s">
        <v>645</v>
      </c>
      <c r="O830" t="s">
        <v>646</v>
      </c>
      <c r="P830" t="s">
        <v>647</v>
      </c>
    </row>
    <row r="831" spans="1:16" x14ac:dyDescent="0.25">
      <c r="A831">
        <v>11044</v>
      </c>
      <c r="B831" t="s">
        <v>642</v>
      </c>
      <c r="C831" s="1">
        <v>35908</v>
      </c>
      <c r="D831" s="1" t="str">
        <f t="shared" si="36"/>
        <v>abr</v>
      </c>
      <c r="E831" s="1" t="str">
        <f t="shared" si="37"/>
        <v>1998</v>
      </c>
      <c r="F831" s="1">
        <v>35936</v>
      </c>
      <c r="G831" s="1">
        <v>35916</v>
      </c>
      <c r="H831">
        <v>1</v>
      </c>
      <c r="I831" t="str">
        <f t="shared" si="38"/>
        <v>UPS</v>
      </c>
      <c r="J831">
        <v>8.7200000000000006</v>
      </c>
      <c r="K831" t="s">
        <v>0</v>
      </c>
      <c r="L831" t="s">
        <v>644</v>
      </c>
      <c r="M831" t="s">
        <v>645</v>
      </c>
      <c r="O831" t="s">
        <v>646</v>
      </c>
      <c r="P831" t="s">
        <v>647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 filterMode="1"/>
  <dimension ref="B2:Q842"/>
  <sheetViews>
    <sheetView tabSelected="1" workbookViewId="0">
      <selection activeCell="B3" sqref="B3:E3"/>
    </sheetView>
  </sheetViews>
  <sheetFormatPr defaultRowHeight="16.5" x14ac:dyDescent="0.3"/>
  <cols>
    <col min="1" max="1" width="9.140625" style="3"/>
    <col min="2" max="2" width="11" style="3" bestFit="1" customWidth="1"/>
    <col min="3" max="3" width="15.42578125" style="3" bestFit="1" customWidth="1"/>
    <col min="4" max="4" width="14.85546875" style="3" bestFit="1" customWidth="1"/>
    <col min="5" max="5" width="16.28515625" style="3" bestFit="1" customWidth="1"/>
    <col min="6" max="6" width="26.5703125" style="3" bestFit="1" customWidth="1"/>
    <col min="7" max="7" width="18.85546875" style="3" bestFit="1" customWidth="1"/>
    <col min="8" max="8" width="16.7109375" style="3" bestFit="1" customWidth="1"/>
    <col min="9" max="9" width="23" style="3" bestFit="1" customWidth="1"/>
    <col min="10" max="10" width="11.7109375" style="3" bestFit="1" customWidth="1"/>
    <col min="11" max="11" width="18.140625" style="3" bestFit="1" customWidth="1"/>
    <col min="12" max="12" width="33.140625" style="3" bestFit="1" customWidth="1"/>
    <col min="13" max="13" width="41.7109375" style="3" bestFit="1" customWidth="1"/>
    <col min="14" max="14" width="14" style="3" bestFit="1" customWidth="1"/>
    <col min="15" max="15" width="14.7109375" style="3" bestFit="1" customWidth="1"/>
    <col min="16" max="16" width="20.85546875" style="3" bestFit="1" customWidth="1"/>
    <col min="17" max="17" width="16.7109375" style="3" bestFit="1" customWidth="1"/>
    <col min="18" max="16384" width="9.140625" style="3"/>
  </cols>
  <sheetData>
    <row r="2" spans="2:17" ht="22.5" customHeight="1" x14ac:dyDescent="0.3">
      <c r="B2" s="24" t="s">
        <v>698</v>
      </c>
      <c r="C2" s="24"/>
      <c r="D2" s="24"/>
      <c r="E2" s="24"/>
      <c r="F2" s="30"/>
      <c r="G2" s="30"/>
    </row>
    <row r="3" spans="2:17" ht="22.5" customHeight="1" x14ac:dyDescent="0.3">
      <c r="B3" s="25" t="s">
        <v>85</v>
      </c>
      <c r="C3" s="25"/>
      <c r="D3" s="25"/>
      <c r="E3" s="25"/>
      <c r="F3" s="30"/>
      <c r="G3" s="30"/>
    </row>
    <row r="5" spans="2:17" ht="22.5" customHeight="1" x14ac:dyDescent="0.3">
      <c r="B5" s="26" t="s">
        <v>656</v>
      </c>
      <c r="C5" s="26"/>
      <c r="D5" s="26"/>
      <c r="E5" s="26"/>
      <c r="F5" s="4" t="s">
        <v>657</v>
      </c>
      <c r="G5" s="5" t="s">
        <v>653</v>
      </c>
      <c r="H5" s="17" t="s">
        <v>702</v>
      </c>
      <c r="I5" s="18" t="s">
        <v>703</v>
      </c>
    </row>
    <row r="6" spans="2:17" ht="22.5" customHeight="1" x14ac:dyDescent="0.3">
      <c r="B6" s="27" t="str">
        <f>IF(VLOOKUP($B$3,'Customer Info'!$A$2:$J$92,3,FALSE)=0,"Não Informado",VLOOKUP($B$3,'Customer Info'!$A$2:$J$92,3,FALSE))</f>
        <v>Antonio Moreno</v>
      </c>
      <c r="C6" s="27"/>
      <c r="D6" s="27"/>
      <c r="E6" s="28"/>
      <c r="F6" s="6" t="str">
        <f>INDEX(Tabela2[#All],MATCH(Dashboard!B6,Tabela2[[#All],[Contact Name]],0),MATCH(Dashboard!F5,Tabela2[#Headers],0))</f>
        <v>Owner</v>
      </c>
      <c r="G6" s="7" t="str">
        <f>INDEX(Tabela2[#All],MATCH(Dashboard!B6,Tabela2[[#All],[Contact Name]],0),MATCH(Dashboard!G5,Tabela2[#Headers],0))</f>
        <v>(5) 555-3932</v>
      </c>
      <c r="H6" s="17">
        <f>SUBTOTAL(103,B13:B842)</f>
        <v>7</v>
      </c>
      <c r="I6" s="19">
        <f>SUBTOTAL(101,K13:K842)</f>
        <v>38.36</v>
      </c>
    </row>
    <row r="8" spans="2:17" ht="22.5" customHeight="1" x14ac:dyDescent="0.3">
      <c r="B8" s="29" t="s">
        <v>651</v>
      </c>
      <c r="C8" s="29"/>
      <c r="D8" s="29"/>
      <c r="E8" s="29"/>
      <c r="F8" s="8" t="s">
        <v>658</v>
      </c>
      <c r="G8" s="9" t="s">
        <v>652</v>
      </c>
      <c r="H8" s="10" t="s">
        <v>650</v>
      </c>
    </row>
    <row r="9" spans="2:17" ht="22.5" customHeight="1" x14ac:dyDescent="0.3">
      <c r="B9" s="20" t="str">
        <f>IF(VLOOKUP($B$3,'Customer Info'!$A$2:$J$92,7,FALSE)=0,"Não Informado",VLOOKUP($B$3,'Customer Info'!$A$2:$J$92,7,FALSE))</f>
        <v>Não Informado</v>
      </c>
      <c r="C9" s="20"/>
      <c r="D9" s="20"/>
      <c r="E9" s="21"/>
      <c r="F9" s="11" t="str">
        <f>INDEX(Tabela2[#All],MATCH(Dashboard!B6,Tabela2[[#All],[Contact Name]],0),MATCH(Dashboard!F8,Tabela2[#Headers],0))</f>
        <v>05023</v>
      </c>
      <c r="G9" s="12" t="str">
        <f>INDEX(Tabela2[#All],MATCH(Dashboard!B6,Tabela2[[#All],[Contact Name]],0),MATCH(Dashboard!G8,Tabela2[#Headers],0))</f>
        <v>Mexico</v>
      </c>
      <c r="H9" s="13" t="str">
        <f>INDEX(Tabela2[#All],MATCH(Dashboard!B6,Tabela2[[#All],[Contact Name]],0),MATCH(Dashboard!H8,Tabela2[#Headers],0))</f>
        <v>México D.F.</v>
      </c>
    </row>
    <row r="11" spans="2:17" x14ac:dyDescent="0.3">
      <c r="B11" s="22" t="s">
        <v>701</v>
      </c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</row>
    <row r="12" spans="2:17" x14ac:dyDescent="0.3">
      <c r="B12" s="3" t="s">
        <v>679</v>
      </c>
      <c r="C12" s="3" t="s">
        <v>680</v>
      </c>
      <c r="D12" s="3" t="s">
        <v>681</v>
      </c>
      <c r="E12" s="3" t="s">
        <v>696</v>
      </c>
      <c r="F12" s="3" t="s">
        <v>697</v>
      </c>
      <c r="G12" s="3" t="s">
        <v>682</v>
      </c>
      <c r="H12" s="3" t="s">
        <v>700</v>
      </c>
      <c r="I12" s="3" t="s">
        <v>672</v>
      </c>
      <c r="J12" s="3" t="s">
        <v>699</v>
      </c>
      <c r="K12" s="15" t="s">
        <v>683</v>
      </c>
      <c r="L12" s="3" t="s">
        <v>698</v>
      </c>
      <c r="M12" s="3" t="s">
        <v>674</v>
      </c>
      <c r="N12" s="3" t="s">
        <v>675</v>
      </c>
      <c r="O12" s="3" t="s">
        <v>676</v>
      </c>
      <c r="P12" s="3" t="s">
        <v>677</v>
      </c>
      <c r="Q12" s="3" t="s">
        <v>678</v>
      </c>
    </row>
    <row r="13" spans="2:17" customFormat="1" ht="15" hidden="1" x14ac:dyDescent="0.25">
      <c r="B13">
        <v>10643</v>
      </c>
      <c r="C13" t="s">
        <v>89</v>
      </c>
      <c r="D13" s="1">
        <v>35667</v>
      </c>
      <c r="E13" s="1" t="str">
        <f>TEXT(D13,"mmm")</f>
        <v>ago</v>
      </c>
      <c r="F13" s="1" t="str">
        <f>TEXT(D13,"aaa")</f>
        <v>1997</v>
      </c>
      <c r="G13" s="1">
        <v>35695</v>
      </c>
      <c r="H13" s="1">
        <v>35675</v>
      </c>
      <c r="I13">
        <v>1</v>
      </c>
      <c r="J13" t="str">
        <f>CHOOSE(I13,"UPS","USPS","DHL")</f>
        <v>UPS</v>
      </c>
      <c r="K13">
        <v>29.46</v>
      </c>
      <c r="L13" t="s">
        <v>87</v>
      </c>
      <c r="M13" t="s">
        <v>91</v>
      </c>
      <c r="N13" t="s">
        <v>92</v>
      </c>
      <c r="P13" t="s">
        <v>93</v>
      </c>
      <c r="Q13" t="s">
        <v>94</v>
      </c>
    </row>
    <row r="14" spans="2:17" customFormat="1" ht="15" hidden="1" x14ac:dyDescent="0.25">
      <c r="B14">
        <v>10692</v>
      </c>
      <c r="C14" t="s">
        <v>89</v>
      </c>
      <c r="D14" s="1">
        <v>35706</v>
      </c>
      <c r="E14" s="1" t="str">
        <f t="shared" ref="E14:E77" si="0">TEXT(D14,"mmm")</f>
        <v>out</v>
      </c>
      <c r="F14" s="1" t="str">
        <f t="shared" ref="F14:F77" si="1">TEXT(D14,"aaa")</f>
        <v>1997</v>
      </c>
      <c r="G14" s="1">
        <v>35734</v>
      </c>
      <c r="H14" s="1">
        <v>35716</v>
      </c>
      <c r="I14">
        <v>2</v>
      </c>
      <c r="J14" t="str">
        <f t="shared" ref="J14:J77" si="2">CHOOSE(I14,"UPS","USPS","DHL")</f>
        <v>USPS</v>
      </c>
      <c r="K14">
        <v>61.02</v>
      </c>
      <c r="L14" t="s">
        <v>87</v>
      </c>
      <c r="M14" t="s">
        <v>91</v>
      </c>
      <c r="N14" t="s">
        <v>92</v>
      </c>
      <c r="P14" t="s">
        <v>93</v>
      </c>
      <c r="Q14" t="s">
        <v>94</v>
      </c>
    </row>
    <row r="15" spans="2:17" customFormat="1" ht="15" hidden="1" x14ac:dyDescent="0.25">
      <c r="B15">
        <v>10702</v>
      </c>
      <c r="C15" t="s">
        <v>89</v>
      </c>
      <c r="D15" s="1">
        <v>35716</v>
      </c>
      <c r="E15" s="1" t="str">
        <f t="shared" si="0"/>
        <v>out</v>
      </c>
      <c r="F15" s="1" t="str">
        <f t="shared" si="1"/>
        <v>1997</v>
      </c>
      <c r="G15" s="1">
        <v>35758</v>
      </c>
      <c r="H15" s="1">
        <v>35724</v>
      </c>
      <c r="I15">
        <v>1</v>
      </c>
      <c r="J15" t="str">
        <f t="shared" si="2"/>
        <v>UPS</v>
      </c>
      <c r="K15">
        <v>23.94</v>
      </c>
      <c r="L15" t="s">
        <v>87</v>
      </c>
      <c r="M15" t="s">
        <v>91</v>
      </c>
      <c r="N15" t="s">
        <v>92</v>
      </c>
      <c r="P15" t="s">
        <v>93</v>
      </c>
      <c r="Q15" t="s">
        <v>94</v>
      </c>
    </row>
    <row r="16" spans="2:17" customFormat="1" ht="15" hidden="1" x14ac:dyDescent="0.25">
      <c r="B16">
        <v>10835</v>
      </c>
      <c r="C16" t="s">
        <v>89</v>
      </c>
      <c r="D16" s="1">
        <v>35810</v>
      </c>
      <c r="E16" s="1" t="str">
        <f t="shared" si="0"/>
        <v>jan</v>
      </c>
      <c r="F16" s="1" t="str">
        <f t="shared" si="1"/>
        <v>1998</v>
      </c>
      <c r="G16" s="1">
        <v>35838</v>
      </c>
      <c r="H16" s="1">
        <v>35816</v>
      </c>
      <c r="I16">
        <v>3</v>
      </c>
      <c r="J16" t="str">
        <f t="shared" si="2"/>
        <v>DHL</v>
      </c>
      <c r="K16">
        <v>69.53</v>
      </c>
      <c r="L16" t="s">
        <v>87</v>
      </c>
      <c r="M16" t="s">
        <v>91</v>
      </c>
      <c r="N16" t="s">
        <v>92</v>
      </c>
      <c r="P16" t="s">
        <v>93</v>
      </c>
      <c r="Q16" t="s">
        <v>94</v>
      </c>
    </row>
    <row r="17" spans="2:17" customFormat="1" ht="15" hidden="1" x14ac:dyDescent="0.25">
      <c r="B17">
        <v>10952</v>
      </c>
      <c r="C17" t="s">
        <v>89</v>
      </c>
      <c r="D17" s="1">
        <v>35870</v>
      </c>
      <c r="E17" s="1" t="str">
        <f t="shared" si="0"/>
        <v>mar</v>
      </c>
      <c r="F17" s="1" t="str">
        <f t="shared" si="1"/>
        <v>1998</v>
      </c>
      <c r="G17" s="1">
        <v>35912</v>
      </c>
      <c r="H17" s="1">
        <v>35878</v>
      </c>
      <c r="I17">
        <v>1</v>
      </c>
      <c r="J17" t="str">
        <f t="shared" si="2"/>
        <v>UPS</v>
      </c>
      <c r="K17">
        <v>40.42</v>
      </c>
      <c r="L17" t="s">
        <v>87</v>
      </c>
      <c r="M17" t="s">
        <v>91</v>
      </c>
      <c r="N17" t="s">
        <v>92</v>
      </c>
      <c r="P17" t="s">
        <v>93</v>
      </c>
      <c r="Q17" t="s">
        <v>94</v>
      </c>
    </row>
    <row r="18" spans="2:17" customFormat="1" ht="15" hidden="1" x14ac:dyDescent="0.25">
      <c r="B18">
        <v>11011</v>
      </c>
      <c r="C18" t="s">
        <v>89</v>
      </c>
      <c r="D18" s="1">
        <v>35894</v>
      </c>
      <c r="E18" s="1" t="str">
        <f t="shared" si="0"/>
        <v>abr</v>
      </c>
      <c r="F18" s="1" t="str">
        <f t="shared" si="1"/>
        <v>1998</v>
      </c>
      <c r="G18" s="1">
        <v>35922</v>
      </c>
      <c r="H18" s="1">
        <v>35898</v>
      </c>
      <c r="I18">
        <v>1</v>
      </c>
      <c r="J18" t="str">
        <f t="shared" si="2"/>
        <v>UPS</v>
      </c>
      <c r="K18">
        <v>1.21</v>
      </c>
      <c r="L18" t="s">
        <v>87</v>
      </c>
      <c r="M18" t="s">
        <v>91</v>
      </c>
      <c r="N18" t="s">
        <v>92</v>
      </c>
      <c r="P18" t="s">
        <v>93</v>
      </c>
      <c r="Q18" t="s">
        <v>94</v>
      </c>
    </row>
    <row r="19" spans="2:17" customFormat="1" ht="15" hidden="1" x14ac:dyDescent="0.25">
      <c r="B19">
        <v>10308</v>
      </c>
      <c r="C19" t="s">
        <v>96</v>
      </c>
      <c r="D19" s="1">
        <v>35326</v>
      </c>
      <c r="E19" s="1" t="str">
        <f t="shared" si="0"/>
        <v>set</v>
      </c>
      <c r="F19" s="1" t="str">
        <f t="shared" si="1"/>
        <v>1996</v>
      </c>
      <c r="G19" s="1">
        <v>35354</v>
      </c>
      <c r="H19" s="1">
        <v>35332</v>
      </c>
      <c r="I19">
        <v>3</v>
      </c>
      <c r="J19" t="str">
        <f t="shared" si="2"/>
        <v>DHL</v>
      </c>
      <c r="K19">
        <v>1.61</v>
      </c>
      <c r="L19" t="s">
        <v>86</v>
      </c>
      <c r="M19" t="s">
        <v>99</v>
      </c>
      <c r="N19" t="s">
        <v>100</v>
      </c>
      <c r="P19" t="s">
        <v>101</v>
      </c>
      <c r="Q19" t="s">
        <v>102</v>
      </c>
    </row>
    <row r="20" spans="2:17" customFormat="1" ht="15" hidden="1" x14ac:dyDescent="0.25">
      <c r="B20">
        <v>10625</v>
      </c>
      <c r="C20" t="s">
        <v>96</v>
      </c>
      <c r="D20" s="1">
        <v>35650</v>
      </c>
      <c r="E20" s="1" t="str">
        <f t="shared" si="0"/>
        <v>ago</v>
      </c>
      <c r="F20" s="1" t="str">
        <f t="shared" si="1"/>
        <v>1997</v>
      </c>
      <c r="G20" s="1">
        <v>35678</v>
      </c>
      <c r="H20" s="1">
        <v>35656</v>
      </c>
      <c r="I20">
        <v>1</v>
      </c>
      <c r="J20" t="str">
        <f t="shared" si="2"/>
        <v>UPS</v>
      </c>
      <c r="K20">
        <v>43.9</v>
      </c>
      <c r="L20" t="s">
        <v>86</v>
      </c>
      <c r="M20" t="s">
        <v>99</v>
      </c>
      <c r="N20" t="s">
        <v>100</v>
      </c>
      <c r="P20" t="s">
        <v>101</v>
      </c>
      <c r="Q20" t="s">
        <v>102</v>
      </c>
    </row>
    <row r="21" spans="2:17" customFormat="1" ht="15" hidden="1" x14ac:dyDescent="0.25">
      <c r="B21">
        <v>10759</v>
      </c>
      <c r="C21" t="s">
        <v>96</v>
      </c>
      <c r="D21" s="1">
        <v>35762</v>
      </c>
      <c r="E21" s="1" t="str">
        <f t="shared" si="0"/>
        <v>nov</v>
      </c>
      <c r="F21" s="1" t="str">
        <f t="shared" si="1"/>
        <v>1997</v>
      </c>
      <c r="G21" s="1">
        <v>35790</v>
      </c>
      <c r="H21" s="1">
        <v>35776</v>
      </c>
      <c r="I21">
        <v>3</v>
      </c>
      <c r="J21" t="str">
        <f t="shared" si="2"/>
        <v>DHL</v>
      </c>
      <c r="K21">
        <v>11.99</v>
      </c>
      <c r="L21" t="s">
        <v>86</v>
      </c>
      <c r="M21" t="s">
        <v>99</v>
      </c>
      <c r="N21" t="s">
        <v>100</v>
      </c>
      <c r="P21" t="s">
        <v>101</v>
      </c>
      <c r="Q21" t="s">
        <v>102</v>
      </c>
    </row>
    <row r="22" spans="2:17" customFormat="1" ht="15" hidden="1" x14ac:dyDescent="0.25">
      <c r="B22">
        <v>10926</v>
      </c>
      <c r="C22" t="s">
        <v>96</v>
      </c>
      <c r="D22" s="1">
        <v>35858</v>
      </c>
      <c r="E22" s="1" t="str">
        <f t="shared" si="0"/>
        <v>mar</v>
      </c>
      <c r="F22" s="1" t="str">
        <f t="shared" si="1"/>
        <v>1998</v>
      </c>
      <c r="G22" s="1">
        <v>35886</v>
      </c>
      <c r="H22" s="1">
        <v>35865</v>
      </c>
      <c r="I22">
        <v>3</v>
      </c>
      <c r="J22" t="str">
        <f t="shared" si="2"/>
        <v>DHL</v>
      </c>
      <c r="K22">
        <v>39.92</v>
      </c>
      <c r="L22" t="s">
        <v>86</v>
      </c>
      <c r="M22" t="s">
        <v>99</v>
      </c>
      <c r="N22" t="s">
        <v>100</v>
      </c>
      <c r="P22" t="s">
        <v>101</v>
      </c>
      <c r="Q22" t="s">
        <v>102</v>
      </c>
    </row>
    <row r="23" spans="2:17" customFormat="1" ht="15" x14ac:dyDescent="0.25">
      <c r="B23">
        <v>10365</v>
      </c>
      <c r="C23" t="s">
        <v>104</v>
      </c>
      <c r="D23" s="1">
        <v>35396</v>
      </c>
      <c r="E23" s="1" t="str">
        <f t="shared" si="0"/>
        <v>nov</v>
      </c>
      <c r="F23" s="1" t="str">
        <f t="shared" si="1"/>
        <v>1996</v>
      </c>
      <c r="G23" s="1">
        <v>35424</v>
      </c>
      <c r="H23" s="1">
        <v>35401</v>
      </c>
      <c r="I23">
        <v>2</v>
      </c>
      <c r="J23" t="str">
        <f t="shared" si="2"/>
        <v>USPS</v>
      </c>
      <c r="K23">
        <v>22</v>
      </c>
      <c r="L23" t="s">
        <v>85</v>
      </c>
      <c r="M23" t="s">
        <v>106</v>
      </c>
      <c r="N23" t="s">
        <v>100</v>
      </c>
      <c r="P23" t="s">
        <v>107</v>
      </c>
      <c r="Q23" t="s">
        <v>102</v>
      </c>
    </row>
    <row r="24" spans="2:17" customFormat="1" ht="15" x14ac:dyDescent="0.25">
      <c r="B24">
        <v>10507</v>
      </c>
      <c r="C24" t="s">
        <v>104</v>
      </c>
      <c r="D24" s="1">
        <v>35535</v>
      </c>
      <c r="E24" s="1" t="str">
        <f t="shared" si="0"/>
        <v>abr</v>
      </c>
      <c r="F24" s="1" t="str">
        <f t="shared" si="1"/>
        <v>1997</v>
      </c>
      <c r="G24" s="1">
        <v>35563</v>
      </c>
      <c r="H24" s="1">
        <v>35542</v>
      </c>
      <c r="I24">
        <v>1</v>
      </c>
      <c r="J24" t="str">
        <f t="shared" si="2"/>
        <v>UPS</v>
      </c>
      <c r="K24">
        <v>47.45</v>
      </c>
      <c r="L24" t="s">
        <v>85</v>
      </c>
      <c r="M24" t="s">
        <v>106</v>
      </c>
      <c r="N24" t="s">
        <v>100</v>
      </c>
      <c r="P24" t="s">
        <v>107</v>
      </c>
      <c r="Q24" t="s">
        <v>102</v>
      </c>
    </row>
    <row r="25" spans="2:17" customFormat="1" ht="15" x14ac:dyDescent="0.25">
      <c r="B25">
        <v>10535</v>
      </c>
      <c r="C25" t="s">
        <v>104</v>
      </c>
      <c r="D25" s="1">
        <v>35563</v>
      </c>
      <c r="E25" s="1" t="str">
        <f t="shared" si="0"/>
        <v>mai</v>
      </c>
      <c r="F25" s="1" t="str">
        <f t="shared" si="1"/>
        <v>1997</v>
      </c>
      <c r="G25" s="1">
        <v>35591</v>
      </c>
      <c r="H25" s="1">
        <v>35571</v>
      </c>
      <c r="I25">
        <v>1</v>
      </c>
      <c r="J25" t="str">
        <f t="shared" si="2"/>
        <v>UPS</v>
      </c>
      <c r="K25">
        <v>15.64</v>
      </c>
      <c r="L25" t="s">
        <v>85</v>
      </c>
      <c r="M25" t="s">
        <v>106</v>
      </c>
      <c r="N25" t="s">
        <v>100</v>
      </c>
      <c r="P25" t="s">
        <v>107</v>
      </c>
      <c r="Q25" t="s">
        <v>102</v>
      </c>
    </row>
    <row r="26" spans="2:17" customFormat="1" ht="15" x14ac:dyDescent="0.25">
      <c r="B26">
        <v>10573</v>
      </c>
      <c r="C26" t="s">
        <v>104</v>
      </c>
      <c r="D26" s="1">
        <v>35600</v>
      </c>
      <c r="E26" s="1" t="str">
        <f t="shared" si="0"/>
        <v>jun</v>
      </c>
      <c r="F26" s="1" t="str">
        <f t="shared" si="1"/>
        <v>1997</v>
      </c>
      <c r="G26" s="1">
        <v>35628</v>
      </c>
      <c r="H26" s="1">
        <v>35601</v>
      </c>
      <c r="I26">
        <v>3</v>
      </c>
      <c r="J26" t="str">
        <f t="shared" si="2"/>
        <v>DHL</v>
      </c>
      <c r="K26">
        <v>84.84</v>
      </c>
      <c r="L26" t="s">
        <v>85</v>
      </c>
      <c r="M26" t="s">
        <v>106</v>
      </c>
      <c r="N26" t="s">
        <v>100</v>
      </c>
      <c r="P26" t="s">
        <v>107</v>
      </c>
      <c r="Q26" t="s">
        <v>102</v>
      </c>
    </row>
    <row r="27" spans="2:17" customFormat="1" ht="15" x14ac:dyDescent="0.25">
      <c r="B27">
        <v>10677</v>
      </c>
      <c r="C27" t="s">
        <v>104</v>
      </c>
      <c r="D27" s="1">
        <v>35695</v>
      </c>
      <c r="E27" s="1" t="str">
        <f t="shared" si="0"/>
        <v>set</v>
      </c>
      <c r="F27" s="1" t="str">
        <f t="shared" si="1"/>
        <v>1997</v>
      </c>
      <c r="G27" s="1">
        <v>35723</v>
      </c>
      <c r="H27" s="1">
        <v>35699</v>
      </c>
      <c r="I27">
        <v>3</v>
      </c>
      <c r="J27" t="str">
        <f t="shared" si="2"/>
        <v>DHL</v>
      </c>
      <c r="K27">
        <v>4.03</v>
      </c>
      <c r="L27" t="s">
        <v>85</v>
      </c>
      <c r="M27" t="s">
        <v>106</v>
      </c>
      <c r="N27" t="s">
        <v>100</v>
      </c>
      <c r="P27" t="s">
        <v>107</v>
      </c>
      <c r="Q27" t="s">
        <v>102</v>
      </c>
    </row>
    <row r="28" spans="2:17" customFormat="1" ht="15" x14ac:dyDescent="0.25">
      <c r="B28">
        <v>10682</v>
      </c>
      <c r="C28" t="s">
        <v>104</v>
      </c>
      <c r="D28" s="1">
        <v>35698</v>
      </c>
      <c r="E28" s="1" t="str">
        <f t="shared" si="0"/>
        <v>set</v>
      </c>
      <c r="F28" s="1" t="str">
        <f t="shared" si="1"/>
        <v>1997</v>
      </c>
      <c r="G28" s="1">
        <v>35726</v>
      </c>
      <c r="H28" s="1">
        <v>35704</v>
      </c>
      <c r="I28">
        <v>2</v>
      </c>
      <c r="J28" t="str">
        <f t="shared" si="2"/>
        <v>USPS</v>
      </c>
      <c r="K28">
        <v>36.130000000000003</v>
      </c>
      <c r="L28" t="s">
        <v>85</v>
      </c>
      <c r="M28" t="s">
        <v>106</v>
      </c>
      <c r="N28" t="s">
        <v>100</v>
      </c>
      <c r="P28" t="s">
        <v>107</v>
      </c>
      <c r="Q28" t="s">
        <v>102</v>
      </c>
    </row>
    <row r="29" spans="2:17" customFormat="1" ht="15" x14ac:dyDescent="0.25">
      <c r="B29">
        <v>10856</v>
      </c>
      <c r="C29" t="s">
        <v>104</v>
      </c>
      <c r="D29" s="1">
        <v>35823</v>
      </c>
      <c r="E29" s="1" t="str">
        <f t="shared" si="0"/>
        <v>jan</v>
      </c>
      <c r="F29" s="1" t="str">
        <f t="shared" si="1"/>
        <v>1998</v>
      </c>
      <c r="G29" s="1">
        <v>35851</v>
      </c>
      <c r="H29" s="1">
        <v>35836</v>
      </c>
      <c r="I29">
        <v>2</v>
      </c>
      <c r="J29" t="str">
        <f t="shared" si="2"/>
        <v>USPS</v>
      </c>
      <c r="K29">
        <v>58.43</v>
      </c>
      <c r="L29" t="s">
        <v>85</v>
      </c>
      <c r="M29" t="s">
        <v>106</v>
      </c>
      <c r="N29" t="s">
        <v>100</v>
      </c>
      <c r="P29" t="s">
        <v>107</v>
      </c>
      <c r="Q29" t="s">
        <v>102</v>
      </c>
    </row>
    <row r="30" spans="2:17" customFormat="1" ht="15" hidden="1" x14ac:dyDescent="0.25">
      <c r="B30">
        <v>10355</v>
      </c>
      <c r="C30" t="s">
        <v>109</v>
      </c>
      <c r="D30" s="1">
        <v>35384</v>
      </c>
      <c r="E30" s="1" t="str">
        <f t="shared" si="0"/>
        <v>nov</v>
      </c>
      <c r="F30" s="1" t="str">
        <f t="shared" si="1"/>
        <v>1996</v>
      </c>
      <c r="G30" s="1">
        <v>35412</v>
      </c>
      <c r="H30" s="1">
        <v>35389</v>
      </c>
      <c r="I30">
        <v>1</v>
      </c>
      <c r="J30" t="str">
        <f t="shared" si="2"/>
        <v>UPS</v>
      </c>
      <c r="K30">
        <v>41.95</v>
      </c>
      <c r="L30" t="s">
        <v>84</v>
      </c>
      <c r="M30" t="s">
        <v>659</v>
      </c>
      <c r="N30" t="s">
        <v>660</v>
      </c>
      <c r="O30" t="s">
        <v>661</v>
      </c>
      <c r="P30" t="s">
        <v>662</v>
      </c>
      <c r="Q30" t="s">
        <v>113</v>
      </c>
    </row>
    <row r="31" spans="2:17" customFormat="1" ht="15" hidden="1" x14ac:dyDescent="0.25">
      <c r="B31">
        <v>10383</v>
      </c>
      <c r="C31" t="s">
        <v>109</v>
      </c>
      <c r="D31" s="1">
        <v>35415</v>
      </c>
      <c r="E31" s="1" t="str">
        <f t="shared" si="0"/>
        <v>dez</v>
      </c>
      <c r="F31" s="1" t="str">
        <f t="shared" si="1"/>
        <v>1996</v>
      </c>
      <c r="G31" s="1">
        <v>35443</v>
      </c>
      <c r="H31" s="1">
        <v>35417</v>
      </c>
      <c r="I31">
        <v>3</v>
      </c>
      <c r="J31" t="str">
        <f t="shared" si="2"/>
        <v>DHL</v>
      </c>
      <c r="K31">
        <v>34.24</v>
      </c>
      <c r="L31" t="s">
        <v>84</v>
      </c>
      <c r="M31" t="s">
        <v>659</v>
      </c>
      <c r="N31" t="s">
        <v>660</v>
      </c>
      <c r="O31" t="s">
        <v>661</v>
      </c>
      <c r="P31" t="s">
        <v>662</v>
      </c>
      <c r="Q31" t="s">
        <v>113</v>
      </c>
    </row>
    <row r="32" spans="2:17" customFormat="1" ht="15" hidden="1" x14ac:dyDescent="0.25">
      <c r="B32">
        <v>10453</v>
      </c>
      <c r="C32" t="s">
        <v>109</v>
      </c>
      <c r="D32" s="1">
        <v>35482</v>
      </c>
      <c r="E32" s="1" t="str">
        <f t="shared" si="0"/>
        <v>fev</v>
      </c>
      <c r="F32" s="1" t="str">
        <f t="shared" si="1"/>
        <v>1997</v>
      </c>
      <c r="G32" s="1">
        <v>35510</v>
      </c>
      <c r="H32" s="1">
        <v>35487</v>
      </c>
      <c r="I32">
        <v>2</v>
      </c>
      <c r="J32" t="str">
        <f t="shared" si="2"/>
        <v>USPS</v>
      </c>
      <c r="K32">
        <v>25.36</v>
      </c>
      <c r="L32" t="s">
        <v>84</v>
      </c>
      <c r="M32" t="s">
        <v>659</v>
      </c>
      <c r="N32" t="s">
        <v>660</v>
      </c>
      <c r="O32" t="s">
        <v>661</v>
      </c>
      <c r="P32" t="s">
        <v>662</v>
      </c>
      <c r="Q32" t="s">
        <v>113</v>
      </c>
    </row>
    <row r="33" spans="2:17" customFormat="1" ht="15" hidden="1" x14ac:dyDescent="0.25">
      <c r="B33">
        <v>10558</v>
      </c>
      <c r="C33" t="s">
        <v>109</v>
      </c>
      <c r="D33" s="1">
        <v>35585</v>
      </c>
      <c r="E33" s="1" t="str">
        <f t="shared" si="0"/>
        <v>jun</v>
      </c>
      <c r="F33" s="1" t="str">
        <f t="shared" si="1"/>
        <v>1997</v>
      </c>
      <c r="G33" s="1">
        <v>35613</v>
      </c>
      <c r="H33" s="1">
        <v>35591</v>
      </c>
      <c r="I33">
        <v>2</v>
      </c>
      <c r="J33" t="str">
        <f t="shared" si="2"/>
        <v>USPS</v>
      </c>
      <c r="K33">
        <v>72.97</v>
      </c>
      <c r="L33" t="s">
        <v>84</v>
      </c>
      <c r="M33" t="s">
        <v>659</v>
      </c>
      <c r="N33" t="s">
        <v>660</v>
      </c>
      <c r="O33" t="s">
        <v>661</v>
      </c>
      <c r="P33" t="s">
        <v>662</v>
      </c>
      <c r="Q33" t="s">
        <v>113</v>
      </c>
    </row>
    <row r="34" spans="2:17" customFormat="1" ht="15" hidden="1" x14ac:dyDescent="0.25">
      <c r="B34">
        <v>10707</v>
      </c>
      <c r="C34" t="s">
        <v>109</v>
      </c>
      <c r="D34" s="1">
        <v>35719</v>
      </c>
      <c r="E34" s="1" t="str">
        <f t="shared" si="0"/>
        <v>out</v>
      </c>
      <c r="F34" s="1" t="str">
        <f t="shared" si="1"/>
        <v>1997</v>
      </c>
      <c r="G34" s="1">
        <v>35733</v>
      </c>
      <c r="H34" s="1">
        <v>35726</v>
      </c>
      <c r="I34">
        <v>3</v>
      </c>
      <c r="J34" t="str">
        <f t="shared" si="2"/>
        <v>DHL</v>
      </c>
      <c r="K34">
        <v>21.74</v>
      </c>
      <c r="L34" t="s">
        <v>84</v>
      </c>
      <c r="M34" t="s">
        <v>659</v>
      </c>
      <c r="N34" t="s">
        <v>660</v>
      </c>
      <c r="O34" t="s">
        <v>661</v>
      </c>
      <c r="P34" t="s">
        <v>662</v>
      </c>
      <c r="Q34" t="s">
        <v>113</v>
      </c>
    </row>
    <row r="35" spans="2:17" customFormat="1" ht="15" hidden="1" x14ac:dyDescent="0.25">
      <c r="B35">
        <v>10741</v>
      </c>
      <c r="C35" t="s">
        <v>109</v>
      </c>
      <c r="D35" s="1">
        <v>35748</v>
      </c>
      <c r="E35" s="1" t="str">
        <f t="shared" si="0"/>
        <v>nov</v>
      </c>
      <c r="F35" s="1" t="str">
        <f t="shared" si="1"/>
        <v>1997</v>
      </c>
      <c r="G35" s="1">
        <v>35762</v>
      </c>
      <c r="H35" s="1">
        <v>35752</v>
      </c>
      <c r="I35">
        <v>3</v>
      </c>
      <c r="J35" t="str">
        <f t="shared" si="2"/>
        <v>DHL</v>
      </c>
      <c r="K35">
        <v>10.96</v>
      </c>
      <c r="L35" t="s">
        <v>84</v>
      </c>
      <c r="M35" t="s">
        <v>659</v>
      </c>
      <c r="N35" t="s">
        <v>660</v>
      </c>
      <c r="O35" t="s">
        <v>661</v>
      </c>
      <c r="P35" t="s">
        <v>662</v>
      </c>
      <c r="Q35" t="s">
        <v>113</v>
      </c>
    </row>
    <row r="36" spans="2:17" customFormat="1" ht="15" hidden="1" x14ac:dyDescent="0.25">
      <c r="B36">
        <v>10743</v>
      </c>
      <c r="C36" t="s">
        <v>109</v>
      </c>
      <c r="D36" s="1">
        <v>35751</v>
      </c>
      <c r="E36" s="1" t="str">
        <f t="shared" si="0"/>
        <v>nov</v>
      </c>
      <c r="F36" s="1" t="str">
        <f t="shared" si="1"/>
        <v>1997</v>
      </c>
      <c r="G36" s="1">
        <v>35779</v>
      </c>
      <c r="H36" s="1">
        <v>35755</v>
      </c>
      <c r="I36">
        <v>2</v>
      </c>
      <c r="J36" t="str">
        <f t="shared" si="2"/>
        <v>USPS</v>
      </c>
      <c r="K36">
        <v>23.72</v>
      </c>
      <c r="L36" t="s">
        <v>84</v>
      </c>
      <c r="M36" t="s">
        <v>659</v>
      </c>
      <c r="N36" t="s">
        <v>660</v>
      </c>
      <c r="O36" t="s">
        <v>661</v>
      </c>
      <c r="P36" t="s">
        <v>662</v>
      </c>
      <c r="Q36" t="s">
        <v>113</v>
      </c>
    </row>
    <row r="37" spans="2:17" customFormat="1" ht="15" hidden="1" x14ac:dyDescent="0.25">
      <c r="B37">
        <v>10768</v>
      </c>
      <c r="C37" t="s">
        <v>109</v>
      </c>
      <c r="D37" s="1">
        <v>35772</v>
      </c>
      <c r="E37" s="1" t="str">
        <f t="shared" si="0"/>
        <v>dez</v>
      </c>
      <c r="F37" s="1" t="str">
        <f t="shared" si="1"/>
        <v>1997</v>
      </c>
      <c r="G37" s="1">
        <v>35800</v>
      </c>
      <c r="H37" s="1">
        <v>35779</v>
      </c>
      <c r="I37">
        <v>2</v>
      </c>
      <c r="J37" t="str">
        <f t="shared" si="2"/>
        <v>USPS</v>
      </c>
      <c r="K37">
        <v>146.32</v>
      </c>
      <c r="L37" t="s">
        <v>84</v>
      </c>
      <c r="M37" t="s">
        <v>659</v>
      </c>
      <c r="N37" t="s">
        <v>660</v>
      </c>
      <c r="O37" t="s">
        <v>661</v>
      </c>
      <c r="P37" t="s">
        <v>662</v>
      </c>
      <c r="Q37" t="s">
        <v>113</v>
      </c>
    </row>
    <row r="38" spans="2:17" customFormat="1" ht="15" hidden="1" x14ac:dyDescent="0.25">
      <c r="B38">
        <v>10793</v>
      </c>
      <c r="C38" t="s">
        <v>109</v>
      </c>
      <c r="D38" s="1">
        <v>35788</v>
      </c>
      <c r="E38" s="1" t="str">
        <f t="shared" si="0"/>
        <v>dez</v>
      </c>
      <c r="F38" s="1" t="str">
        <f t="shared" si="1"/>
        <v>1997</v>
      </c>
      <c r="G38" s="1">
        <v>35816</v>
      </c>
      <c r="H38" s="1">
        <v>35803</v>
      </c>
      <c r="I38">
        <v>3</v>
      </c>
      <c r="J38" t="str">
        <f t="shared" si="2"/>
        <v>DHL</v>
      </c>
      <c r="K38">
        <v>4.5199999999999996</v>
      </c>
      <c r="L38" t="s">
        <v>84</v>
      </c>
      <c r="M38" t="s">
        <v>659</v>
      </c>
      <c r="N38" t="s">
        <v>660</v>
      </c>
      <c r="O38" t="s">
        <v>661</v>
      </c>
      <c r="P38" t="s">
        <v>662</v>
      </c>
      <c r="Q38" t="s">
        <v>113</v>
      </c>
    </row>
    <row r="39" spans="2:17" customFormat="1" ht="15" hidden="1" x14ac:dyDescent="0.25">
      <c r="B39">
        <v>10864</v>
      </c>
      <c r="C39" t="s">
        <v>109</v>
      </c>
      <c r="D39" s="1">
        <v>35828</v>
      </c>
      <c r="E39" s="1" t="str">
        <f t="shared" si="0"/>
        <v>fev</v>
      </c>
      <c r="F39" s="1" t="str">
        <f t="shared" si="1"/>
        <v>1998</v>
      </c>
      <c r="G39" s="1">
        <v>35856</v>
      </c>
      <c r="H39" s="1">
        <v>35835</v>
      </c>
      <c r="I39">
        <v>2</v>
      </c>
      <c r="J39" t="str">
        <f t="shared" si="2"/>
        <v>USPS</v>
      </c>
      <c r="K39">
        <v>3.04</v>
      </c>
      <c r="L39" t="s">
        <v>84</v>
      </c>
      <c r="M39" t="s">
        <v>659</v>
      </c>
      <c r="N39" t="s">
        <v>660</v>
      </c>
      <c r="O39" t="s">
        <v>661</v>
      </c>
      <c r="P39" t="s">
        <v>662</v>
      </c>
      <c r="Q39" t="s">
        <v>113</v>
      </c>
    </row>
    <row r="40" spans="2:17" customFormat="1" ht="15" hidden="1" x14ac:dyDescent="0.25">
      <c r="B40">
        <v>10920</v>
      </c>
      <c r="C40" t="s">
        <v>109</v>
      </c>
      <c r="D40" s="1">
        <v>35857</v>
      </c>
      <c r="E40" s="1" t="str">
        <f t="shared" si="0"/>
        <v>mar</v>
      </c>
      <c r="F40" s="1" t="str">
        <f t="shared" si="1"/>
        <v>1998</v>
      </c>
      <c r="G40" s="1">
        <v>35885</v>
      </c>
      <c r="H40" s="1">
        <v>35863</v>
      </c>
      <c r="I40">
        <v>2</v>
      </c>
      <c r="J40" t="str">
        <f t="shared" si="2"/>
        <v>USPS</v>
      </c>
      <c r="K40">
        <v>29.61</v>
      </c>
      <c r="L40" t="s">
        <v>84</v>
      </c>
      <c r="M40" t="s">
        <v>659</v>
      </c>
      <c r="N40" t="s">
        <v>660</v>
      </c>
      <c r="O40" t="s">
        <v>661</v>
      </c>
      <c r="P40" t="s">
        <v>662</v>
      </c>
      <c r="Q40" t="s">
        <v>113</v>
      </c>
    </row>
    <row r="41" spans="2:17" customFormat="1" ht="15" hidden="1" x14ac:dyDescent="0.25">
      <c r="B41">
        <v>10953</v>
      </c>
      <c r="C41" t="s">
        <v>109</v>
      </c>
      <c r="D41" s="1">
        <v>35870</v>
      </c>
      <c r="E41" s="1" t="str">
        <f t="shared" si="0"/>
        <v>mar</v>
      </c>
      <c r="F41" s="1" t="str">
        <f t="shared" si="1"/>
        <v>1998</v>
      </c>
      <c r="G41" s="1">
        <v>35884</v>
      </c>
      <c r="H41" s="1">
        <v>35879</v>
      </c>
      <c r="I41">
        <v>2</v>
      </c>
      <c r="J41" t="str">
        <f t="shared" si="2"/>
        <v>USPS</v>
      </c>
      <c r="K41">
        <v>23.72</v>
      </c>
      <c r="L41" t="s">
        <v>84</v>
      </c>
      <c r="M41" t="s">
        <v>659</v>
      </c>
      <c r="N41" t="s">
        <v>660</v>
      </c>
      <c r="O41" t="s">
        <v>661</v>
      </c>
      <c r="P41" t="s">
        <v>662</v>
      </c>
      <c r="Q41" t="s">
        <v>113</v>
      </c>
    </row>
    <row r="42" spans="2:17" customFormat="1" ht="15" hidden="1" x14ac:dyDescent="0.25">
      <c r="B42">
        <v>11016</v>
      </c>
      <c r="C42" t="s">
        <v>109</v>
      </c>
      <c r="D42" s="1">
        <v>35895</v>
      </c>
      <c r="E42" s="1" t="str">
        <f t="shared" si="0"/>
        <v>abr</v>
      </c>
      <c r="F42" s="1" t="str">
        <f t="shared" si="1"/>
        <v>1998</v>
      </c>
      <c r="G42" s="1">
        <v>35923</v>
      </c>
      <c r="H42" s="1">
        <v>35898</v>
      </c>
      <c r="I42">
        <v>2</v>
      </c>
      <c r="J42" t="str">
        <f t="shared" si="2"/>
        <v>USPS</v>
      </c>
      <c r="K42">
        <v>33.799999999999997</v>
      </c>
      <c r="L42" t="s">
        <v>84</v>
      </c>
      <c r="M42" t="s">
        <v>659</v>
      </c>
      <c r="N42" t="s">
        <v>660</v>
      </c>
      <c r="O42" t="s">
        <v>661</v>
      </c>
      <c r="P42" t="s">
        <v>662</v>
      </c>
      <c r="Q42" t="s">
        <v>113</v>
      </c>
    </row>
    <row r="43" spans="2:17" customFormat="1" ht="15" hidden="1" x14ac:dyDescent="0.25">
      <c r="B43">
        <v>10278</v>
      </c>
      <c r="C43" t="s">
        <v>115</v>
      </c>
      <c r="D43" s="1">
        <v>35289</v>
      </c>
      <c r="E43" s="1" t="str">
        <f t="shared" si="0"/>
        <v>ago</v>
      </c>
      <c r="F43" s="1" t="str">
        <f t="shared" si="1"/>
        <v>1996</v>
      </c>
      <c r="G43" s="1">
        <v>35317</v>
      </c>
      <c r="H43" s="1">
        <v>35293</v>
      </c>
      <c r="I43">
        <v>2</v>
      </c>
      <c r="J43" t="str">
        <f t="shared" si="2"/>
        <v>USPS</v>
      </c>
      <c r="K43">
        <v>92.69</v>
      </c>
      <c r="L43" t="s">
        <v>83</v>
      </c>
      <c r="M43" t="s">
        <v>118</v>
      </c>
      <c r="N43" t="s">
        <v>119</v>
      </c>
      <c r="P43" t="s">
        <v>120</v>
      </c>
      <c r="Q43" t="s">
        <v>121</v>
      </c>
    </row>
    <row r="44" spans="2:17" customFormat="1" ht="15" hidden="1" x14ac:dyDescent="0.25">
      <c r="B44">
        <v>10280</v>
      </c>
      <c r="C44" t="s">
        <v>115</v>
      </c>
      <c r="D44" s="1">
        <v>35291</v>
      </c>
      <c r="E44" s="1" t="str">
        <f t="shared" si="0"/>
        <v>ago</v>
      </c>
      <c r="F44" s="1" t="str">
        <f t="shared" si="1"/>
        <v>1996</v>
      </c>
      <c r="G44" s="1">
        <v>35319</v>
      </c>
      <c r="H44" s="1">
        <v>35320</v>
      </c>
      <c r="I44">
        <v>1</v>
      </c>
      <c r="J44" t="str">
        <f t="shared" si="2"/>
        <v>UPS</v>
      </c>
      <c r="K44">
        <v>8.98</v>
      </c>
      <c r="L44" t="s">
        <v>83</v>
      </c>
      <c r="M44" t="s">
        <v>118</v>
      </c>
      <c r="N44" t="s">
        <v>119</v>
      </c>
      <c r="P44" t="s">
        <v>120</v>
      </c>
      <c r="Q44" t="s">
        <v>121</v>
      </c>
    </row>
    <row r="45" spans="2:17" customFormat="1" ht="15" hidden="1" x14ac:dyDescent="0.25">
      <c r="B45">
        <v>10384</v>
      </c>
      <c r="C45" t="s">
        <v>115</v>
      </c>
      <c r="D45" s="1">
        <v>35415</v>
      </c>
      <c r="E45" s="1" t="str">
        <f t="shared" si="0"/>
        <v>dez</v>
      </c>
      <c r="F45" s="1" t="str">
        <f t="shared" si="1"/>
        <v>1996</v>
      </c>
      <c r="G45" s="1">
        <v>35443</v>
      </c>
      <c r="H45" s="1">
        <v>35419</v>
      </c>
      <c r="I45">
        <v>3</v>
      </c>
      <c r="J45" t="str">
        <f t="shared" si="2"/>
        <v>DHL</v>
      </c>
      <c r="K45">
        <v>168.64</v>
      </c>
      <c r="L45" t="s">
        <v>83</v>
      </c>
      <c r="M45" t="s">
        <v>118</v>
      </c>
      <c r="N45" t="s">
        <v>119</v>
      </c>
      <c r="P45" t="s">
        <v>120</v>
      </c>
      <c r="Q45" t="s">
        <v>121</v>
      </c>
    </row>
    <row r="46" spans="2:17" customFormat="1" ht="15" hidden="1" x14ac:dyDescent="0.25">
      <c r="B46">
        <v>10444</v>
      </c>
      <c r="C46" t="s">
        <v>115</v>
      </c>
      <c r="D46" s="1">
        <v>35473</v>
      </c>
      <c r="E46" s="1" t="str">
        <f t="shared" si="0"/>
        <v>fev</v>
      </c>
      <c r="F46" s="1" t="str">
        <f t="shared" si="1"/>
        <v>1997</v>
      </c>
      <c r="G46" s="1">
        <v>35501</v>
      </c>
      <c r="H46" s="1">
        <v>35482</v>
      </c>
      <c r="I46">
        <v>3</v>
      </c>
      <c r="J46" t="str">
        <f t="shared" si="2"/>
        <v>DHL</v>
      </c>
      <c r="K46">
        <v>3.5</v>
      </c>
      <c r="L46" t="s">
        <v>83</v>
      </c>
      <c r="M46" t="s">
        <v>118</v>
      </c>
      <c r="N46" t="s">
        <v>119</v>
      </c>
      <c r="P46" t="s">
        <v>120</v>
      </c>
      <c r="Q46" t="s">
        <v>121</v>
      </c>
    </row>
    <row r="47" spans="2:17" customFormat="1" ht="15" hidden="1" x14ac:dyDescent="0.25">
      <c r="B47">
        <v>10445</v>
      </c>
      <c r="C47" t="s">
        <v>115</v>
      </c>
      <c r="D47" s="1">
        <v>35474</v>
      </c>
      <c r="E47" s="1" t="str">
        <f t="shared" si="0"/>
        <v>fev</v>
      </c>
      <c r="F47" s="1" t="str">
        <f t="shared" si="1"/>
        <v>1997</v>
      </c>
      <c r="G47" s="1">
        <v>35502</v>
      </c>
      <c r="H47" s="1">
        <v>35481</v>
      </c>
      <c r="I47">
        <v>1</v>
      </c>
      <c r="J47" t="str">
        <f t="shared" si="2"/>
        <v>UPS</v>
      </c>
      <c r="K47">
        <v>9.3000000000000007</v>
      </c>
      <c r="L47" t="s">
        <v>83</v>
      </c>
      <c r="M47" t="s">
        <v>118</v>
      </c>
      <c r="N47" t="s">
        <v>119</v>
      </c>
      <c r="P47" t="s">
        <v>120</v>
      </c>
      <c r="Q47" t="s">
        <v>121</v>
      </c>
    </row>
    <row r="48" spans="2:17" customFormat="1" ht="15" hidden="1" x14ac:dyDescent="0.25">
      <c r="B48">
        <v>10524</v>
      </c>
      <c r="C48" t="s">
        <v>115</v>
      </c>
      <c r="D48" s="1">
        <v>35551</v>
      </c>
      <c r="E48" s="1" t="str">
        <f t="shared" si="0"/>
        <v>mai</v>
      </c>
      <c r="F48" s="1" t="str">
        <f t="shared" si="1"/>
        <v>1997</v>
      </c>
      <c r="G48" s="1">
        <v>35579</v>
      </c>
      <c r="H48" s="1">
        <v>35557</v>
      </c>
      <c r="I48">
        <v>2</v>
      </c>
      <c r="J48" t="str">
        <f t="shared" si="2"/>
        <v>USPS</v>
      </c>
      <c r="K48">
        <v>244.79</v>
      </c>
      <c r="L48" t="s">
        <v>83</v>
      </c>
      <c r="M48" t="s">
        <v>118</v>
      </c>
      <c r="N48" t="s">
        <v>119</v>
      </c>
      <c r="P48" t="s">
        <v>120</v>
      </c>
      <c r="Q48" t="s">
        <v>121</v>
      </c>
    </row>
    <row r="49" spans="2:17" customFormat="1" ht="15" hidden="1" x14ac:dyDescent="0.25">
      <c r="B49">
        <v>10572</v>
      </c>
      <c r="C49" t="s">
        <v>115</v>
      </c>
      <c r="D49" s="1">
        <v>35599</v>
      </c>
      <c r="E49" s="1" t="str">
        <f t="shared" si="0"/>
        <v>jun</v>
      </c>
      <c r="F49" s="1" t="str">
        <f t="shared" si="1"/>
        <v>1997</v>
      </c>
      <c r="G49" s="1">
        <v>35627</v>
      </c>
      <c r="H49" s="1">
        <v>35606</v>
      </c>
      <c r="I49">
        <v>2</v>
      </c>
      <c r="J49" t="str">
        <f t="shared" si="2"/>
        <v>USPS</v>
      </c>
      <c r="K49">
        <v>116.43</v>
      </c>
      <c r="L49" t="s">
        <v>83</v>
      </c>
      <c r="M49" t="s">
        <v>118</v>
      </c>
      <c r="N49" t="s">
        <v>119</v>
      </c>
      <c r="P49" t="s">
        <v>120</v>
      </c>
      <c r="Q49" t="s">
        <v>121</v>
      </c>
    </row>
    <row r="50" spans="2:17" customFormat="1" ht="15" hidden="1" x14ac:dyDescent="0.25">
      <c r="B50">
        <v>10626</v>
      </c>
      <c r="C50" t="s">
        <v>115</v>
      </c>
      <c r="D50" s="1">
        <v>35653</v>
      </c>
      <c r="E50" s="1" t="str">
        <f t="shared" si="0"/>
        <v>ago</v>
      </c>
      <c r="F50" s="1" t="str">
        <f t="shared" si="1"/>
        <v>1997</v>
      </c>
      <c r="G50" s="1">
        <v>35681</v>
      </c>
      <c r="H50" s="1">
        <v>35662</v>
      </c>
      <c r="I50">
        <v>2</v>
      </c>
      <c r="J50" t="str">
        <f t="shared" si="2"/>
        <v>USPS</v>
      </c>
      <c r="K50">
        <v>138.69</v>
      </c>
      <c r="L50" t="s">
        <v>83</v>
      </c>
      <c r="M50" t="s">
        <v>118</v>
      </c>
      <c r="N50" t="s">
        <v>119</v>
      </c>
      <c r="P50" t="s">
        <v>120</v>
      </c>
      <c r="Q50" t="s">
        <v>121</v>
      </c>
    </row>
    <row r="51" spans="2:17" customFormat="1" ht="15" hidden="1" x14ac:dyDescent="0.25">
      <c r="B51">
        <v>10654</v>
      </c>
      <c r="C51" t="s">
        <v>115</v>
      </c>
      <c r="D51" s="1">
        <v>35675</v>
      </c>
      <c r="E51" s="1" t="str">
        <f t="shared" si="0"/>
        <v>set</v>
      </c>
      <c r="F51" s="1" t="str">
        <f t="shared" si="1"/>
        <v>1997</v>
      </c>
      <c r="G51" s="1">
        <v>35703</v>
      </c>
      <c r="H51" s="1">
        <v>35684</v>
      </c>
      <c r="I51">
        <v>1</v>
      </c>
      <c r="J51" t="str">
        <f t="shared" si="2"/>
        <v>UPS</v>
      </c>
      <c r="K51">
        <v>55.26</v>
      </c>
      <c r="L51" t="s">
        <v>83</v>
      </c>
      <c r="M51" t="s">
        <v>118</v>
      </c>
      <c r="N51" t="s">
        <v>119</v>
      </c>
      <c r="P51" t="s">
        <v>120</v>
      </c>
      <c r="Q51" t="s">
        <v>121</v>
      </c>
    </row>
    <row r="52" spans="2:17" customFormat="1" ht="15" hidden="1" x14ac:dyDescent="0.25">
      <c r="B52">
        <v>10672</v>
      </c>
      <c r="C52" t="s">
        <v>115</v>
      </c>
      <c r="D52" s="1">
        <v>35690</v>
      </c>
      <c r="E52" s="1" t="str">
        <f t="shared" si="0"/>
        <v>set</v>
      </c>
      <c r="F52" s="1" t="str">
        <f t="shared" si="1"/>
        <v>1997</v>
      </c>
      <c r="G52" s="1">
        <v>35704</v>
      </c>
      <c r="H52" s="1">
        <v>35699</v>
      </c>
      <c r="I52">
        <v>2</v>
      </c>
      <c r="J52" t="str">
        <f t="shared" si="2"/>
        <v>USPS</v>
      </c>
      <c r="K52">
        <v>95.75</v>
      </c>
      <c r="L52" t="s">
        <v>83</v>
      </c>
      <c r="M52" t="s">
        <v>118</v>
      </c>
      <c r="N52" t="s">
        <v>119</v>
      </c>
      <c r="P52" t="s">
        <v>120</v>
      </c>
      <c r="Q52" t="s">
        <v>121</v>
      </c>
    </row>
    <row r="53" spans="2:17" customFormat="1" ht="15" hidden="1" x14ac:dyDescent="0.25">
      <c r="B53">
        <v>10689</v>
      </c>
      <c r="C53" t="s">
        <v>115</v>
      </c>
      <c r="D53" s="1">
        <v>35704</v>
      </c>
      <c r="E53" s="1" t="str">
        <f t="shared" si="0"/>
        <v>out</v>
      </c>
      <c r="F53" s="1" t="str">
        <f t="shared" si="1"/>
        <v>1997</v>
      </c>
      <c r="G53" s="1">
        <v>35732</v>
      </c>
      <c r="H53" s="1">
        <v>35710</v>
      </c>
      <c r="I53">
        <v>2</v>
      </c>
      <c r="J53" t="str">
        <f t="shared" si="2"/>
        <v>USPS</v>
      </c>
      <c r="K53">
        <v>13.42</v>
      </c>
      <c r="L53" t="s">
        <v>83</v>
      </c>
      <c r="M53" t="s">
        <v>118</v>
      </c>
      <c r="N53" t="s">
        <v>119</v>
      </c>
      <c r="P53" t="s">
        <v>120</v>
      </c>
      <c r="Q53" t="s">
        <v>121</v>
      </c>
    </row>
    <row r="54" spans="2:17" customFormat="1" ht="15" hidden="1" x14ac:dyDescent="0.25">
      <c r="B54">
        <v>10733</v>
      </c>
      <c r="C54" t="s">
        <v>115</v>
      </c>
      <c r="D54" s="1">
        <v>35741</v>
      </c>
      <c r="E54" s="1" t="str">
        <f t="shared" si="0"/>
        <v>nov</v>
      </c>
      <c r="F54" s="1" t="str">
        <f t="shared" si="1"/>
        <v>1997</v>
      </c>
      <c r="G54" s="1">
        <v>35769</v>
      </c>
      <c r="H54" s="1">
        <v>35744</v>
      </c>
      <c r="I54">
        <v>3</v>
      </c>
      <c r="J54" t="str">
        <f t="shared" si="2"/>
        <v>DHL</v>
      </c>
      <c r="K54">
        <v>110.11</v>
      </c>
      <c r="L54" t="s">
        <v>83</v>
      </c>
      <c r="M54" t="s">
        <v>118</v>
      </c>
      <c r="N54" t="s">
        <v>119</v>
      </c>
      <c r="P54" t="s">
        <v>120</v>
      </c>
      <c r="Q54" t="s">
        <v>121</v>
      </c>
    </row>
    <row r="55" spans="2:17" customFormat="1" ht="15" hidden="1" x14ac:dyDescent="0.25">
      <c r="B55">
        <v>10778</v>
      </c>
      <c r="C55" t="s">
        <v>115</v>
      </c>
      <c r="D55" s="1">
        <v>35780</v>
      </c>
      <c r="E55" s="1" t="str">
        <f t="shared" si="0"/>
        <v>dez</v>
      </c>
      <c r="F55" s="1" t="str">
        <f t="shared" si="1"/>
        <v>1997</v>
      </c>
      <c r="G55" s="1">
        <v>35808</v>
      </c>
      <c r="H55" s="1">
        <v>35788</v>
      </c>
      <c r="I55">
        <v>1</v>
      </c>
      <c r="J55" t="str">
        <f t="shared" si="2"/>
        <v>UPS</v>
      </c>
      <c r="K55">
        <v>6.79</v>
      </c>
      <c r="L55" t="s">
        <v>83</v>
      </c>
      <c r="M55" t="s">
        <v>118</v>
      </c>
      <c r="N55" t="s">
        <v>119</v>
      </c>
      <c r="P55" t="s">
        <v>120</v>
      </c>
      <c r="Q55" t="s">
        <v>121</v>
      </c>
    </row>
    <row r="56" spans="2:17" customFormat="1" ht="15" hidden="1" x14ac:dyDescent="0.25">
      <c r="B56">
        <v>10837</v>
      </c>
      <c r="C56" t="s">
        <v>115</v>
      </c>
      <c r="D56" s="1">
        <v>35811</v>
      </c>
      <c r="E56" s="1" t="str">
        <f t="shared" si="0"/>
        <v>jan</v>
      </c>
      <c r="F56" s="1" t="str">
        <f t="shared" si="1"/>
        <v>1998</v>
      </c>
      <c r="G56" s="1">
        <v>35839</v>
      </c>
      <c r="H56" s="1">
        <v>35818</v>
      </c>
      <c r="I56">
        <v>3</v>
      </c>
      <c r="J56" t="str">
        <f t="shared" si="2"/>
        <v>DHL</v>
      </c>
      <c r="K56">
        <v>13.32</v>
      </c>
      <c r="L56" t="s">
        <v>83</v>
      </c>
      <c r="M56" t="s">
        <v>118</v>
      </c>
      <c r="N56" t="s">
        <v>119</v>
      </c>
      <c r="P56" t="s">
        <v>120</v>
      </c>
      <c r="Q56" t="s">
        <v>121</v>
      </c>
    </row>
    <row r="57" spans="2:17" customFormat="1" ht="15" hidden="1" x14ac:dyDescent="0.25">
      <c r="B57">
        <v>10857</v>
      </c>
      <c r="C57" t="s">
        <v>115</v>
      </c>
      <c r="D57" s="1">
        <v>35823</v>
      </c>
      <c r="E57" s="1" t="str">
        <f t="shared" si="0"/>
        <v>jan</v>
      </c>
      <c r="F57" s="1" t="str">
        <f t="shared" si="1"/>
        <v>1998</v>
      </c>
      <c r="G57" s="1">
        <v>35851</v>
      </c>
      <c r="H57" s="1">
        <v>35832</v>
      </c>
      <c r="I57">
        <v>2</v>
      </c>
      <c r="J57" t="str">
        <f t="shared" si="2"/>
        <v>USPS</v>
      </c>
      <c r="K57">
        <v>188.85</v>
      </c>
      <c r="L57" t="s">
        <v>83</v>
      </c>
      <c r="M57" t="s">
        <v>118</v>
      </c>
      <c r="N57" t="s">
        <v>119</v>
      </c>
      <c r="P57" t="s">
        <v>120</v>
      </c>
      <c r="Q57" t="s">
        <v>121</v>
      </c>
    </row>
    <row r="58" spans="2:17" customFormat="1" ht="15" hidden="1" x14ac:dyDescent="0.25">
      <c r="B58">
        <v>10866</v>
      </c>
      <c r="C58" t="s">
        <v>115</v>
      </c>
      <c r="D58" s="1">
        <v>35829</v>
      </c>
      <c r="E58" s="1" t="str">
        <f t="shared" si="0"/>
        <v>fev</v>
      </c>
      <c r="F58" s="1" t="str">
        <f t="shared" si="1"/>
        <v>1998</v>
      </c>
      <c r="G58" s="1">
        <v>35857</v>
      </c>
      <c r="H58" s="1">
        <v>35838</v>
      </c>
      <c r="I58">
        <v>1</v>
      </c>
      <c r="J58" t="str">
        <f t="shared" si="2"/>
        <v>UPS</v>
      </c>
      <c r="K58">
        <v>109.11</v>
      </c>
      <c r="L58" t="s">
        <v>83</v>
      </c>
      <c r="M58" t="s">
        <v>118</v>
      </c>
      <c r="N58" t="s">
        <v>119</v>
      </c>
      <c r="P58" t="s">
        <v>120</v>
      </c>
      <c r="Q58" t="s">
        <v>121</v>
      </c>
    </row>
    <row r="59" spans="2:17" customFormat="1" ht="15" hidden="1" x14ac:dyDescent="0.25">
      <c r="B59">
        <v>10875</v>
      </c>
      <c r="C59" t="s">
        <v>115</v>
      </c>
      <c r="D59" s="1">
        <v>35832</v>
      </c>
      <c r="E59" s="1" t="str">
        <f t="shared" si="0"/>
        <v>fev</v>
      </c>
      <c r="F59" s="1" t="str">
        <f t="shared" si="1"/>
        <v>1998</v>
      </c>
      <c r="G59" s="1">
        <v>35860</v>
      </c>
      <c r="H59" s="1">
        <v>35857</v>
      </c>
      <c r="I59">
        <v>2</v>
      </c>
      <c r="J59" t="str">
        <f t="shared" si="2"/>
        <v>USPS</v>
      </c>
      <c r="K59">
        <v>32.369999999999997</v>
      </c>
      <c r="L59" t="s">
        <v>83</v>
      </c>
      <c r="M59" t="s">
        <v>118</v>
      </c>
      <c r="N59" t="s">
        <v>119</v>
      </c>
      <c r="P59" t="s">
        <v>120</v>
      </c>
      <c r="Q59" t="s">
        <v>121</v>
      </c>
    </row>
    <row r="60" spans="2:17" customFormat="1" ht="15" hidden="1" x14ac:dyDescent="0.25">
      <c r="B60">
        <v>10924</v>
      </c>
      <c r="C60" t="s">
        <v>115</v>
      </c>
      <c r="D60" s="1">
        <v>35858</v>
      </c>
      <c r="E60" s="1" t="str">
        <f t="shared" si="0"/>
        <v>mar</v>
      </c>
      <c r="F60" s="1" t="str">
        <f t="shared" si="1"/>
        <v>1998</v>
      </c>
      <c r="G60" s="1">
        <v>35886</v>
      </c>
      <c r="H60" s="1">
        <v>35893</v>
      </c>
      <c r="I60">
        <v>2</v>
      </c>
      <c r="J60" t="str">
        <f t="shared" si="2"/>
        <v>USPS</v>
      </c>
      <c r="K60">
        <v>151.52000000000001</v>
      </c>
      <c r="L60" t="s">
        <v>83</v>
      </c>
      <c r="M60" t="s">
        <v>118</v>
      </c>
      <c r="N60" t="s">
        <v>119</v>
      </c>
      <c r="P60" t="s">
        <v>120</v>
      </c>
      <c r="Q60" t="s">
        <v>121</v>
      </c>
    </row>
    <row r="61" spans="2:17" customFormat="1" ht="15" hidden="1" x14ac:dyDescent="0.25">
      <c r="B61">
        <v>10501</v>
      </c>
      <c r="C61" t="s">
        <v>123</v>
      </c>
      <c r="D61" s="1">
        <v>35529</v>
      </c>
      <c r="E61" s="1" t="str">
        <f t="shared" si="0"/>
        <v>abr</v>
      </c>
      <c r="F61" s="1" t="str">
        <f t="shared" si="1"/>
        <v>1997</v>
      </c>
      <c r="G61" s="1">
        <v>35557</v>
      </c>
      <c r="H61" s="1">
        <v>35536</v>
      </c>
      <c r="I61">
        <v>3</v>
      </c>
      <c r="J61" t="str">
        <f t="shared" si="2"/>
        <v>DHL</v>
      </c>
      <c r="K61">
        <v>8.85</v>
      </c>
      <c r="L61" t="s">
        <v>82</v>
      </c>
      <c r="M61" t="s">
        <v>124</v>
      </c>
      <c r="N61" t="s">
        <v>125</v>
      </c>
      <c r="P61" t="s">
        <v>126</v>
      </c>
      <c r="Q61" t="s">
        <v>94</v>
      </c>
    </row>
    <row r="62" spans="2:17" customFormat="1" ht="15" hidden="1" x14ac:dyDescent="0.25">
      <c r="B62">
        <v>10509</v>
      </c>
      <c r="C62" t="s">
        <v>123</v>
      </c>
      <c r="D62" s="1">
        <v>35537</v>
      </c>
      <c r="E62" s="1" t="str">
        <f t="shared" si="0"/>
        <v>abr</v>
      </c>
      <c r="F62" s="1" t="str">
        <f t="shared" si="1"/>
        <v>1997</v>
      </c>
      <c r="G62" s="1">
        <v>35565</v>
      </c>
      <c r="H62" s="1">
        <v>35549</v>
      </c>
      <c r="I62">
        <v>1</v>
      </c>
      <c r="J62" t="str">
        <f t="shared" si="2"/>
        <v>UPS</v>
      </c>
      <c r="K62">
        <v>0.15</v>
      </c>
      <c r="L62" t="s">
        <v>82</v>
      </c>
      <c r="M62" t="s">
        <v>124</v>
      </c>
      <c r="N62" t="s">
        <v>125</v>
      </c>
      <c r="P62" t="s">
        <v>126</v>
      </c>
      <c r="Q62" t="s">
        <v>94</v>
      </c>
    </row>
    <row r="63" spans="2:17" customFormat="1" ht="15" hidden="1" x14ac:dyDescent="0.25">
      <c r="B63">
        <v>10582</v>
      </c>
      <c r="C63" t="s">
        <v>123</v>
      </c>
      <c r="D63" s="1">
        <v>35608</v>
      </c>
      <c r="E63" s="1" t="str">
        <f t="shared" si="0"/>
        <v>jun</v>
      </c>
      <c r="F63" s="1" t="str">
        <f t="shared" si="1"/>
        <v>1997</v>
      </c>
      <c r="G63" s="1">
        <v>35636</v>
      </c>
      <c r="H63" s="1">
        <v>35625</v>
      </c>
      <c r="I63">
        <v>2</v>
      </c>
      <c r="J63" t="str">
        <f t="shared" si="2"/>
        <v>USPS</v>
      </c>
      <c r="K63">
        <v>27.71</v>
      </c>
      <c r="L63" t="s">
        <v>82</v>
      </c>
      <c r="M63" t="s">
        <v>124</v>
      </c>
      <c r="N63" t="s">
        <v>125</v>
      </c>
      <c r="P63" t="s">
        <v>126</v>
      </c>
      <c r="Q63" t="s">
        <v>94</v>
      </c>
    </row>
    <row r="64" spans="2:17" customFormat="1" ht="15" hidden="1" x14ac:dyDescent="0.25">
      <c r="B64">
        <v>10614</v>
      </c>
      <c r="C64" t="s">
        <v>123</v>
      </c>
      <c r="D64" s="1">
        <v>35640</v>
      </c>
      <c r="E64" s="1" t="str">
        <f t="shared" si="0"/>
        <v>jul</v>
      </c>
      <c r="F64" s="1" t="str">
        <f t="shared" si="1"/>
        <v>1997</v>
      </c>
      <c r="G64" s="1">
        <v>35668</v>
      </c>
      <c r="H64" s="1">
        <v>35643</v>
      </c>
      <c r="I64">
        <v>3</v>
      </c>
      <c r="J64" t="str">
        <f t="shared" si="2"/>
        <v>DHL</v>
      </c>
      <c r="K64">
        <v>1.93</v>
      </c>
      <c r="L64" t="s">
        <v>82</v>
      </c>
      <c r="M64" t="s">
        <v>124</v>
      </c>
      <c r="N64" t="s">
        <v>125</v>
      </c>
      <c r="P64" t="s">
        <v>126</v>
      </c>
      <c r="Q64" t="s">
        <v>94</v>
      </c>
    </row>
    <row r="65" spans="2:17" customFormat="1" ht="15" hidden="1" x14ac:dyDescent="0.25">
      <c r="B65">
        <v>10853</v>
      </c>
      <c r="C65" t="s">
        <v>123</v>
      </c>
      <c r="D65" s="1">
        <v>35822</v>
      </c>
      <c r="E65" s="1" t="str">
        <f t="shared" si="0"/>
        <v>jan</v>
      </c>
      <c r="F65" s="1" t="str">
        <f t="shared" si="1"/>
        <v>1998</v>
      </c>
      <c r="G65" s="1">
        <v>35850</v>
      </c>
      <c r="H65" s="1">
        <v>35829</v>
      </c>
      <c r="I65">
        <v>2</v>
      </c>
      <c r="J65" t="str">
        <f t="shared" si="2"/>
        <v>USPS</v>
      </c>
      <c r="K65">
        <v>53.83</v>
      </c>
      <c r="L65" t="s">
        <v>82</v>
      </c>
      <c r="M65" t="s">
        <v>124</v>
      </c>
      <c r="N65" t="s">
        <v>125</v>
      </c>
      <c r="P65" t="s">
        <v>126</v>
      </c>
      <c r="Q65" t="s">
        <v>94</v>
      </c>
    </row>
    <row r="66" spans="2:17" customFormat="1" ht="15" hidden="1" x14ac:dyDescent="0.25">
      <c r="B66">
        <v>10956</v>
      </c>
      <c r="C66" t="s">
        <v>123</v>
      </c>
      <c r="D66" s="1">
        <v>35871</v>
      </c>
      <c r="E66" s="1" t="str">
        <f t="shared" si="0"/>
        <v>mar</v>
      </c>
      <c r="F66" s="1" t="str">
        <f t="shared" si="1"/>
        <v>1998</v>
      </c>
      <c r="G66" s="1">
        <v>35913</v>
      </c>
      <c r="H66" s="1">
        <v>35874</v>
      </c>
      <c r="I66">
        <v>2</v>
      </c>
      <c r="J66" t="str">
        <f t="shared" si="2"/>
        <v>USPS</v>
      </c>
      <c r="K66">
        <v>44.65</v>
      </c>
      <c r="L66" t="s">
        <v>82</v>
      </c>
      <c r="M66" t="s">
        <v>124</v>
      </c>
      <c r="N66" t="s">
        <v>125</v>
      </c>
      <c r="P66" t="s">
        <v>126</v>
      </c>
      <c r="Q66" t="s">
        <v>94</v>
      </c>
    </row>
    <row r="67" spans="2:17" customFormat="1" ht="15" hidden="1" x14ac:dyDescent="0.25">
      <c r="B67">
        <v>11058</v>
      </c>
      <c r="C67" t="s">
        <v>123</v>
      </c>
      <c r="D67" s="1">
        <v>35914</v>
      </c>
      <c r="E67" s="1" t="str">
        <f t="shared" si="0"/>
        <v>abr</v>
      </c>
      <c r="F67" s="1" t="str">
        <f t="shared" si="1"/>
        <v>1998</v>
      </c>
      <c r="G67" s="1">
        <v>35942</v>
      </c>
      <c r="H67" s="1"/>
      <c r="I67">
        <v>3</v>
      </c>
      <c r="J67" t="str">
        <f t="shared" si="2"/>
        <v>DHL</v>
      </c>
      <c r="K67">
        <v>31.14</v>
      </c>
      <c r="L67" t="s">
        <v>82</v>
      </c>
      <c r="M67" t="s">
        <v>124</v>
      </c>
      <c r="N67" t="s">
        <v>125</v>
      </c>
      <c r="P67" t="s">
        <v>126</v>
      </c>
      <c r="Q67" t="s">
        <v>94</v>
      </c>
    </row>
    <row r="68" spans="2:17" customFormat="1" ht="15" hidden="1" x14ac:dyDescent="0.25">
      <c r="B68">
        <v>10265</v>
      </c>
      <c r="C68" t="s">
        <v>128</v>
      </c>
      <c r="D68" s="1">
        <v>35271</v>
      </c>
      <c r="E68" s="1" t="str">
        <f t="shared" si="0"/>
        <v>jul</v>
      </c>
      <c r="F68" s="1" t="str">
        <f t="shared" si="1"/>
        <v>1996</v>
      </c>
      <c r="G68" s="1">
        <v>35299</v>
      </c>
      <c r="H68" s="1">
        <v>35289</v>
      </c>
      <c r="I68">
        <v>1</v>
      </c>
      <c r="J68" t="str">
        <f t="shared" si="2"/>
        <v>UPS</v>
      </c>
      <c r="K68">
        <v>55.28</v>
      </c>
      <c r="L68" t="s">
        <v>81</v>
      </c>
      <c r="M68" t="s">
        <v>131</v>
      </c>
      <c r="N68" t="s">
        <v>132</v>
      </c>
      <c r="P68" t="s">
        <v>133</v>
      </c>
      <c r="Q68" t="s">
        <v>134</v>
      </c>
    </row>
    <row r="69" spans="2:17" customFormat="1" ht="15" hidden="1" x14ac:dyDescent="0.25">
      <c r="B69">
        <v>10297</v>
      </c>
      <c r="C69" t="s">
        <v>128</v>
      </c>
      <c r="D69" s="1">
        <v>35312</v>
      </c>
      <c r="E69" s="1" t="str">
        <f t="shared" si="0"/>
        <v>set</v>
      </c>
      <c r="F69" s="1" t="str">
        <f t="shared" si="1"/>
        <v>1996</v>
      </c>
      <c r="G69" s="1">
        <v>35354</v>
      </c>
      <c r="H69" s="1">
        <v>35318</v>
      </c>
      <c r="I69">
        <v>2</v>
      </c>
      <c r="J69" t="str">
        <f t="shared" si="2"/>
        <v>USPS</v>
      </c>
      <c r="K69">
        <v>5.74</v>
      </c>
      <c r="L69" t="s">
        <v>81</v>
      </c>
      <c r="M69" t="s">
        <v>131</v>
      </c>
      <c r="N69" t="s">
        <v>132</v>
      </c>
      <c r="P69" t="s">
        <v>133</v>
      </c>
      <c r="Q69" t="s">
        <v>134</v>
      </c>
    </row>
    <row r="70" spans="2:17" customFormat="1" ht="15" hidden="1" x14ac:dyDescent="0.25">
      <c r="B70">
        <v>10360</v>
      </c>
      <c r="C70" t="s">
        <v>128</v>
      </c>
      <c r="D70" s="1">
        <v>35391</v>
      </c>
      <c r="E70" s="1" t="str">
        <f t="shared" si="0"/>
        <v>nov</v>
      </c>
      <c r="F70" s="1" t="str">
        <f t="shared" si="1"/>
        <v>1996</v>
      </c>
      <c r="G70" s="1">
        <v>35419</v>
      </c>
      <c r="H70" s="1">
        <v>35401</v>
      </c>
      <c r="I70">
        <v>3</v>
      </c>
      <c r="J70" t="str">
        <f t="shared" si="2"/>
        <v>DHL</v>
      </c>
      <c r="K70">
        <v>131.69999999999999</v>
      </c>
      <c r="L70" t="s">
        <v>81</v>
      </c>
      <c r="M70" t="s">
        <v>131</v>
      </c>
      <c r="N70" t="s">
        <v>132</v>
      </c>
      <c r="P70" t="s">
        <v>133</v>
      </c>
      <c r="Q70" t="s">
        <v>134</v>
      </c>
    </row>
    <row r="71" spans="2:17" customFormat="1" ht="15" hidden="1" x14ac:dyDescent="0.25">
      <c r="B71">
        <v>10436</v>
      </c>
      <c r="C71" t="s">
        <v>128</v>
      </c>
      <c r="D71" s="1">
        <v>35466</v>
      </c>
      <c r="E71" s="1" t="str">
        <f t="shared" si="0"/>
        <v>fev</v>
      </c>
      <c r="F71" s="1" t="str">
        <f t="shared" si="1"/>
        <v>1997</v>
      </c>
      <c r="G71" s="1">
        <v>35494</v>
      </c>
      <c r="H71" s="1">
        <v>35472</v>
      </c>
      <c r="I71">
        <v>2</v>
      </c>
      <c r="J71" t="str">
        <f t="shared" si="2"/>
        <v>USPS</v>
      </c>
      <c r="K71">
        <v>156.66</v>
      </c>
      <c r="L71" t="s">
        <v>81</v>
      </c>
      <c r="M71" t="s">
        <v>131</v>
      </c>
      <c r="N71" t="s">
        <v>132</v>
      </c>
      <c r="P71" t="s">
        <v>133</v>
      </c>
      <c r="Q71" t="s">
        <v>134</v>
      </c>
    </row>
    <row r="72" spans="2:17" customFormat="1" ht="15" hidden="1" x14ac:dyDescent="0.25">
      <c r="B72">
        <v>10449</v>
      </c>
      <c r="C72" t="s">
        <v>128</v>
      </c>
      <c r="D72" s="1">
        <v>35479</v>
      </c>
      <c r="E72" s="1" t="str">
        <f t="shared" si="0"/>
        <v>fev</v>
      </c>
      <c r="F72" s="1" t="str">
        <f t="shared" si="1"/>
        <v>1997</v>
      </c>
      <c r="G72" s="1">
        <v>35507</v>
      </c>
      <c r="H72" s="1">
        <v>35488</v>
      </c>
      <c r="I72">
        <v>2</v>
      </c>
      <c r="J72" t="str">
        <f t="shared" si="2"/>
        <v>USPS</v>
      </c>
      <c r="K72">
        <v>53.3</v>
      </c>
      <c r="L72" t="s">
        <v>81</v>
      </c>
      <c r="M72" t="s">
        <v>131</v>
      </c>
      <c r="N72" t="s">
        <v>132</v>
      </c>
      <c r="P72" t="s">
        <v>133</v>
      </c>
      <c r="Q72" t="s">
        <v>134</v>
      </c>
    </row>
    <row r="73" spans="2:17" customFormat="1" ht="15" hidden="1" x14ac:dyDescent="0.25">
      <c r="B73">
        <v>10559</v>
      </c>
      <c r="C73" t="s">
        <v>128</v>
      </c>
      <c r="D73" s="1">
        <v>35586</v>
      </c>
      <c r="E73" s="1" t="str">
        <f t="shared" si="0"/>
        <v>jun</v>
      </c>
      <c r="F73" s="1" t="str">
        <f t="shared" si="1"/>
        <v>1997</v>
      </c>
      <c r="G73" s="1">
        <v>35614</v>
      </c>
      <c r="H73" s="1">
        <v>35594</v>
      </c>
      <c r="I73">
        <v>1</v>
      </c>
      <c r="J73" t="str">
        <f t="shared" si="2"/>
        <v>UPS</v>
      </c>
      <c r="K73">
        <v>8.0500000000000007</v>
      </c>
      <c r="L73" t="s">
        <v>81</v>
      </c>
      <c r="M73" t="s">
        <v>131</v>
      </c>
      <c r="N73" t="s">
        <v>132</v>
      </c>
      <c r="P73" t="s">
        <v>133</v>
      </c>
      <c r="Q73" t="s">
        <v>134</v>
      </c>
    </row>
    <row r="74" spans="2:17" customFormat="1" ht="15" hidden="1" x14ac:dyDescent="0.25">
      <c r="B74">
        <v>10566</v>
      </c>
      <c r="C74" t="s">
        <v>128</v>
      </c>
      <c r="D74" s="1">
        <v>35593</v>
      </c>
      <c r="E74" s="1" t="str">
        <f t="shared" si="0"/>
        <v>jun</v>
      </c>
      <c r="F74" s="1" t="str">
        <f t="shared" si="1"/>
        <v>1997</v>
      </c>
      <c r="G74" s="1">
        <v>35621</v>
      </c>
      <c r="H74" s="1">
        <v>35599</v>
      </c>
      <c r="I74">
        <v>1</v>
      </c>
      <c r="J74" t="str">
        <f t="shared" si="2"/>
        <v>UPS</v>
      </c>
      <c r="K74">
        <v>88.4</v>
      </c>
      <c r="L74" t="s">
        <v>81</v>
      </c>
      <c r="M74" t="s">
        <v>131</v>
      </c>
      <c r="N74" t="s">
        <v>132</v>
      </c>
      <c r="P74" t="s">
        <v>133</v>
      </c>
      <c r="Q74" t="s">
        <v>134</v>
      </c>
    </row>
    <row r="75" spans="2:17" customFormat="1" ht="15" hidden="1" x14ac:dyDescent="0.25">
      <c r="B75">
        <v>10584</v>
      </c>
      <c r="C75" t="s">
        <v>128</v>
      </c>
      <c r="D75" s="1">
        <v>35611</v>
      </c>
      <c r="E75" s="1" t="str">
        <f t="shared" si="0"/>
        <v>jun</v>
      </c>
      <c r="F75" s="1" t="str">
        <f t="shared" si="1"/>
        <v>1997</v>
      </c>
      <c r="G75" s="1">
        <v>35639</v>
      </c>
      <c r="H75" s="1">
        <v>35615</v>
      </c>
      <c r="I75">
        <v>1</v>
      </c>
      <c r="J75" t="str">
        <f t="shared" si="2"/>
        <v>UPS</v>
      </c>
      <c r="K75">
        <v>59.14</v>
      </c>
      <c r="L75" t="s">
        <v>81</v>
      </c>
      <c r="M75" t="s">
        <v>131</v>
      </c>
      <c r="N75" t="s">
        <v>132</v>
      </c>
      <c r="P75" t="s">
        <v>133</v>
      </c>
      <c r="Q75" t="s">
        <v>134</v>
      </c>
    </row>
    <row r="76" spans="2:17" customFormat="1" ht="15" hidden="1" x14ac:dyDescent="0.25">
      <c r="B76">
        <v>10628</v>
      </c>
      <c r="C76" t="s">
        <v>128</v>
      </c>
      <c r="D76" s="1">
        <v>35654</v>
      </c>
      <c r="E76" s="1" t="str">
        <f t="shared" si="0"/>
        <v>ago</v>
      </c>
      <c r="F76" s="1" t="str">
        <f t="shared" si="1"/>
        <v>1997</v>
      </c>
      <c r="G76" s="1">
        <v>35682</v>
      </c>
      <c r="H76" s="1">
        <v>35662</v>
      </c>
      <c r="I76">
        <v>3</v>
      </c>
      <c r="J76" t="str">
        <f t="shared" si="2"/>
        <v>DHL</v>
      </c>
      <c r="K76">
        <v>30.36</v>
      </c>
      <c r="L76" t="s">
        <v>81</v>
      </c>
      <c r="M76" t="s">
        <v>131</v>
      </c>
      <c r="N76" t="s">
        <v>132</v>
      </c>
      <c r="P76" t="s">
        <v>133</v>
      </c>
      <c r="Q76" t="s">
        <v>134</v>
      </c>
    </row>
    <row r="77" spans="2:17" customFormat="1" ht="15" hidden="1" x14ac:dyDescent="0.25">
      <c r="B77">
        <v>10679</v>
      </c>
      <c r="C77" t="s">
        <v>128</v>
      </c>
      <c r="D77" s="1">
        <v>35696</v>
      </c>
      <c r="E77" s="1" t="str">
        <f t="shared" si="0"/>
        <v>set</v>
      </c>
      <c r="F77" s="1" t="str">
        <f t="shared" si="1"/>
        <v>1997</v>
      </c>
      <c r="G77" s="1">
        <v>35724</v>
      </c>
      <c r="H77" s="1">
        <v>35703</v>
      </c>
      <c r="I77">
        <v>3</v>
      </c>
      <c r="J77" t="str">
        <f t="shared" si="2"/>
        <v>DHL</v>
      </c>
      <c r="K77">
        <v>27.94</v>
      </c>
      <c r="L77" t="s">
        <v>81</v>
      </c>
      <c r="M77" t="s">
        <v>131</v>
      </c>
      <c r="N77" t="s">
        <v>132</v>
      </c>
      <c r="P77" t="s">
        <v>133</v>
      </c>
      <c r="Q77" t="s">
        <v>134</v>
      </c>
    </row>
    <row r="78" spans="2:17" customFormat="1" ht="15" hidden="1" x14ac:dyDescent="0.25">
      <c r="B78">
        <v>10826</v>
      </c>
      <c r="C78" t="s">
        <v>128</v>
      </c>
      <c r="D78" s="1">
        <v>35807</v>
      </c>
      <c r="E78" s="1" t="str">
        <f t="shared" ref="E78:E141" si="3">TEXT(D78,"mmm")</f>
        <v>jan</v>
      </c>
      <c r="F78" s="1" t="str">
        <f t="shared" ref="F78:F141" si="4">TEXT(D78,"aaa")</f>
        <v>1998</v>
      </c>
      <c r="G78" s="1">
        <v>35835</v>
      </c>
      <c r="H78" s="1">
        <v>35832</v>
      </c>
      <c r="I78">
        <v>1</v>
      </c>
      <c r="J78" t="str">
        <f t="shared" ref="J78:J141" si="5">CHOOSE(I78,"UPS","USPS","DHL")</f>
        <v>UPS</v>
      </c>
      <c r="K78">
        <v>7.09</v>
      </c>
      <c r="L78" t="s">
        <v>81</v>
      </c>
      <c r="M78" t="s">
        <v>131</v>
      </c>
      <c r="N78" t="s">
        <v>132</v>
      </c>
      <c r="P78" t="s">
        <v>133</v>
      </c>
      <c r="Q78" t="s">
        <v>134</v>
      </c>
    </row>
    <row r="79" spans="2:17" customFormat="1" ht="15" hidden="1" x14ac:dyDescent="0.25">
      <c r="B79">
        <v>10326</v>
      </c>
      <c r="C79" t="s">
        <v>136</v>
      </c>
      <c r="D79" s="1">
        <v>35348</v>
      </c>
      <c r="E79" s="1" t="str">
        <f t="shared" si="3"/>
        <v>out</v>
      </c>
      <c r="F79" s="1" t="str">
        <f t="shared" si="4"/>
        <v>1996</v>
      </c>
      <c r="G79" s="1">
        <v>35376</v>
      </c>
      <c r="H79" s="1">
        <v>35352</v>
      </c>
      <c r="I79">
        <v>2</v>
      </c>
      <c r="J79" t="str">
        <f t="shared" si="5"/>
        <v>USPS</v>
      </c>
      <c r="K79">
        <v>77.92</v>
      </c>
      <c r="L79" t="s">
        <v>80</v>
      </c>
      <c r="M79" t="s">
        <v>138</v>
      </c>
      <c r="N79" t="s">
        <v>139</v>
      </c>
      <c r="P79" t="s">
        <v>140</v>
      </c>
      <c r="Q79" t="s">
        <v>141</v>
      </c>
    </row>
    <row r="80" spans="2:17" customFormat="1" ht="15" hidden="1" x14ac:dyDescent="0.25">
      <c r="B80">
        <v>10801</v>
      </c>
      <c r="C80" t="s">
        <v>136</v>
      </c>
      <c r="D80" s="1">
        <v>35793</v>
      </c>
      <c r="E80" s="1" t="str">
        <f t="shared" si="3"/>
        <v>dez</v>
      </c>
      <c r="F80" s="1" t="str">
        <f t="shared" si="4"/>
        <v>1997</v>
      </c>
      <c r="G80" s="1">
        <v>35821</v>
      </c>
      <c r="H80" s="1">
        <v>35795</v>
      </c>
      <c r="I80">
        <v>2</v>
      </c>
      <c r="J80" t="str">
        <f t="shared" si="5"/>
        <v>USPS</v>
      </c>
      <c r="K80">
        <v>97.09</v>
      </c>
      <c r="L80" t="s">
        <v>80</v>
      </c>
      <c r="M80" t="s">
        <v>138</v>
      </c>
      <c r="N80" t="s">
        <v>139</v>
      </c>
      <c r="P80" t="s">
        <v>140</v>
      </c>
      <c r="Q80" t="s">
        <v>141</v>
      </c>
    </row>
    <row r="81" spans="2:17" customFormat="1" ht="15" hidden="1" x14ac:dyDescent="0.25">
      <c r="B81">
        <v>10970</v>
      </c>
      <c r="C81" t="s">
        <v>136</v>
      </c>
      <c r="D81" s="1">
        <v>35878</v>
      </c>
      <c r="E81" s="1" t="str">
        <f t="shared" si="3"/>
        <v>mar</v>
      </c>
      <c r="F81" s="1" t="str">
        <f t="shared" si="4"/>
        <v>1998</v>
      </c>
      <c r="G81" s="1">
        <v>35892</v>
      </c>
      <c r="H81" s="1">
        <v>35909</v>
      </c>
      <c r="I81">
        <v>1</v>
      </c>
      <c r="J81" t="str">
        <f t="shared" si="5"/>
        <v>UPS</v>
      </c>
      <c r="K81">
        <v>16.16</v>
      </c>
      <c r="L81" t="s">
        <v>80</v>
      </c>
      <c r="M81" t="s">
        <v>138</v>
      </c>
      <c r="N81" t="s">
        <v>139</v>
      </c>
      <c r="P81" t="s">
        <v>140</v>
      </c>
      <c r="Q81" t="s">
        <v>141</v>
      </c>
    </row>
    <row r="82" spans="2:17" customFormat="1" ht="15" hidden="1" x14ac:dyDescent="0.25">
      <c r="B82">
        <v>10331</v>
      </c>
      <c r="C82" t="s">
        <v>143</v>
      </c>
      <c r="D82" s="1">
        <v>35354</v>
      </c>
      <c r="E82" s="1" t="str">
        <f t="shared" si="3"/>
        <v>out</v>
      </c>
      <c r="F82" s="1" t="str">
        <f t="shared" si="4"/>
        <v>1996</v>
      </c>
      <c r="G82" s="1">
        <v>35396</v>
      </c>
      <c r="H82" s="1">
        <v>35359</v>
      </c>
      <c r="I82">
        <v>1</v>
      </c>
      <c r="J82" t="str">
        <f t="shared" si="5"/>
        <v>UPS</v>
      </c>
      <c r="K82">
        <v>10.19</v>
      </c>
      <c r="L82" t="s">
        <v>79</v>
      </c>
      <c r="M82" t="s">
        <v>145</v>
      </c>
      <c r="N82" t="s">
        <v>146</v>
      </c>
      <c r="P82" t="s">
        <v>147</v>
      </c>
      <c r="Q82" t="s">
        <v>134</v>
      </c>
    </row>
    <row r="83" spans="2:17" customFormat="1" ht="15" hidden="1" x14ac:dyDescent="0.25">
      <c r="B83">
        <v>10340</v>
      </c>
      <c r="C83" t="s">
        <v>143</v>
      </c>
      <c r="D83" s="1">
        <v>35367</v>
      </c>
      <c r="E83" s="1" t="str">
        <f t="shared" si="3"/>
        <v>out</v>
      </c>
      <c r="F83" s="1" t="str">
        <f t="shared" si="4"/>
        <v>1996</v>
      </c>
      <c r="G83" s="1">
        <v>35395</v>
      </c>
      <c r="H83" s="1">
        <v>35377</v>
      </c>
      <c r="I83">
        <v>3</v>
      </c>
      <c r="J83" t="str">
        <f t="shared" si="5"/>
        <v>DHL</v>
      </c>
      <c r="K83">
        <v>166.31</v>
      </c>
      <c r="L83" t="s">
        <v>79</v>
      </c>
      <c r="M83" t="s">
        <v>145</v>
      </c>
      <c r="N83" t="s">
        <v>146</v>
      </c>
      <c r="P83" t="s">
        <v>147</v>
      </c>
      <c r="Q83" t="s">
        <v>134</v>
      </c>
    </row>
    <row r="84" spans="2:17" customFormat="1" ht="15" hidden="1" x14ac:dyDescent="0.25">
      <c r="B84">
        <v>10362</v>
      </c>
      <c r="C84" t="s">
        <v>143</v>
      </c>
      <c r="D84" s="1">
        <v>35394</v>
      </c>
      <c r="E84" s="1" t="str">
        <f t="shared" si="3"/>
        <v>nov</v>
      </c>
      <c r="F84" s="1" t="str">
        <f t="shared" si="4"/>
        <v>1996</v>
      </c>
      <c r="G84" s="1">
        <v>35422</v>
      </c>
      <c r="H84" s="1">
        <v>35397</v>
      </c>
      <c r="I84">
        <v>1</v>
      </c>
      <c r="J84" t="str">
        <f t="shared" si="5"/>
        <v>UPS</v>
      </c>
      <c r="K84">
        <v>96.04</v>
      </c>
      <c r="L84" t="s">
        <v>79</v>
      </c>
      <c r="M84" t="s">
        <v>145</v>
      </c>
      <c r="N84" t="s">
        <v>146</v>
      </c>
      <c r="P84" t="s">
        <v>147</v>
      </c>
      <c r="Q84" t="s">
        <v>134</v>
      </c>
    </row>
    <row r="85" spans="2:17" customFormat="1" ht="15" hidden="1" x14ac:dyDescent="0.25">
      <c r="B85">
        <v>10470</v>
      </c>
      <c r="C85" t="s">
        <v>143</v>
      </c>
      <c r="D85" s="1">
        <v>35500</v>
      </c>
      <c r="E85" s="1" t="str">
        <f t="shared" si="3"/>
        <v>mar</v>
      </c>
      <c r="F85" s="1" t="str">
        <f t="shared" si="4"/>
        <v>1997</v>
      </c>
      <c r="G85" s="1">
        <v>35528</v>
      </c>
      <c r="H85" s="1">
        <v>35503</v>
      </c>
      <c r="I85">
        <v>2</v>
      </c>
      <c r="J85" t="str">
        <f t="shared" si="5"/>
        <v>USPS</v>
      </c>
      <c r="K85">
        <v>64.56</v>
      </c>
      <c r="L85" t="s">
        <v>79</v>
      </c>
      <c r="M85" t="s">
        <v>145</v>
      </c>
      <c r="N85" t="s">
        <v>146</v>
      </c>
      <c r="P85" t="s">
        <v>147</v>
      </c>
      <c r="Q85" t="s">
        <v>134</v>
      </c>
    </row>
    <row r="86" spans="2:17" customFormat="1" ht="15" hidden="1" x14ac:dyDescent="0.25">
      <c r="B86">
        <v>10511</v>
      </c>
      <c r="C86" t="s">
        <v>143</v>
      </c>
      <c r="D86" s="1">
        <v>35538</v>
      </c>
      <c r="E86" s="1" t="str">
        <f t="shared" si="3"/>
        <v>abr</v>
      </c>
      <c r="F86" s="1" t="str">
        <f t="shared" si="4"/>
        <v>1997</v>
      </c>
      <c r="G86" s="1">
        <v>35566</v>
      </c>
      <c r="H86" s="1">
        <v>35541</v>
      </c>
      <c r="I86">
        <v>3</v>
      </c>
      <c r="J86" t="str">
        <f t="shared" si="5"/>
        <v>DHL</v>
      </c>
      <c r="K86">
        <v>350.64</v>
      </c>
      <c r="L86" t="s">
        <v>79</v>
      </c>
      <c r="M86" t="s">
        <v>145</v>
      </c>
      <c r="N86" t="s">
        <v>146</v>
      </c>
      <c r="P86" t="s">
        <v>147</v>
      </c>
      <c r="Q86" t="s">
        <v>134</v>
      </c>
    </row>
    <row r="87" spans="2:17" customFormat="1" ht="15" hidden="1" x14ac:dyDescent="0.25">
      <c r="B87">
        <v>10525</v>
      </c>
      <c r="C87" t="s">
        <v>143</v>
      </c>
      <c r="D87" s="1">
        <v>35552</v>
      </c>
      <c r="E87" s="1" t="str">
        <f t="shared" si="3"/>
        <v>mai</v>
      </c>
      <c r="F87" s="1" t="str">
        <f t="shared" si="4"/>
        <v>1997</v>
      </c>
      <c r="G87" s="1">
        <v>35580</v>
      </c>
      <c r="H87" s="1">
        <v>35573</v>
      </c>
      <c r="I87">
        <v>2</v>
      </c>
      <c r="J87" t="str">
        <f t="shared" si="5"/>
        <v>USPS</v>
      </c>
      <c r="K87">
        <v>11.06</v>
      </c>
      <c r="L87" t="s">
        <v>79</v>
      </c>
      <c r="M87" t="s">
        <v>145</v>
      </c>
      <c r="N87" t="s">
        <v>146</v>
      </c>
      <c r="P87" t="s">
        <v>147</v>
      </c>
      <c r="Q87" t="s">
        <v>134</v>
      </c>
    </row>
    <row r="88" spans="2:17" customFormat="1" ht="15" hidden="1" x14ac:dyDescent="0.25">
      <c r="B88">
        <v>10663</v>
      </c>
      <c r="C88" t="s">
        <v>143</v>
      </c>
      <c r="D88" s="1">
        <v>35683</v>
      </c>
      <c r="E88" s="1" t="str">
        <f t="shared" si="3"/>
        <v>set</v>
      </c>
      <c r="F88" s="1" t="str">
        <f t="shared" si="4"/>
        <v>1997</v>
      </c>
      <c r="G88" s="1">
        <v>35697</v>
      </c>
      <c r="H88" s="1">
        <v>35706</v>
      </c>
      <c r="I88">
        <v>2</v>
      </c>
      <c r="J88" t="str">
        <f t="shared" si="5"/>
        <v>USPS</v>
      </c>
      <c r="K88">
        <v>113.15</v>
      </c>
      <c r="L88" t="s">
        <v>79</v>
      </c>
      <c r="M88" t="s">
        <v>145</v>
      </c>
      <c r="N88" t="s">
        <v>146</v>
      </c>
      <c r="P88" t="s">
        <v>147</v>
      </c>
      <c r="Q88" t="s">
        <v>134</v>
      </c>
    </row>
    <row r="89" spans="2:17" customFormat="1" ht="15" hidden="1" x14ac:dyDescent="0.25">
      <c r="B89">
        <v>10715</v>
      </c>
      <c r="C89" t="s">
        <v>143</v>
      </c>
      <c r="D89" s="1">
        <v>35726</v>
      </c>
      <c r="E89" s="1" t="str">
        <f t="shared" si="3"/>
        <v>out</v>
      </c>
      <c r="F89" s="1" t="str">
        <f t="shared" si="4"/>
        <v>1997</v>
      </c>
      <c r="G89" s="1">
        <v>35740</v>
      </c>
      <c r="H89" s="1">
        <v>35732</v>
      </c>
      <c r="I89">
        <v>1</v>
      </c>
      <c r="J89" t="str">
        <f t="shared" si="5"/>
        <v>UPS</v>
      </c>
      <c r="K89">
        <v>63.2</v>
      </c>
      <c r="L89" t="s">
        <v>79</v>
      </c>
      <c r="M89" t="s">
        <v>145</v>
      </c>
      <c r="N89" t="s">
        <v>146</v>
      </c>
      <c r="P89" t="s">
        <v>147</v>
      </c>
      <c r="Q89" t="s">
        <v>134</v>
      </c>
    </row>
    <row r="90" spans="2:17" customFormat="1" ht="15" hidden="1" x14ac:dyDescent="0.25">
      <c r="B90">
        <v>10730</v>
      </c>
      <c r="C90" t="s">
        <v>143</v>
      </c>
      <c r="D90" s="1">
        <v>35739</v>
      </c>
      <c r="E90" s="1" t="str">
        <f t="shared" si="3"/>
        <v>nov</v>
      </c>
      <c r="F90" s="1" t="str">
        <f t="shared" si="4"/>
        <v>1997</v>
      </c>
      <c r="G90" s="1">
        <v>35767</v>
      </c>
      <c r="H90" s="1">
        <v>35748</v>
      </c>
      <c r="I90">
        <v>1</v>
      </c>
      <c r="J90" t="str">
        <f t="shared" si="5"/>
        <v>UPS</v>
      </c>
      <c r="K90">
        <v>20.12</v>
      </c>
      <c r="L90" t="s">
        <v>79</v>
      </c>
      <c r="M90" t="s">
        <v>145</v>
      </c>
      <c r="N90" t="s">
        <v>146</v>
      </c>
      <c r="P90" t="s">
        <v>147</v>
      </c>
      <c r="Q90" t="s">
        <v>134</v>
      </c>
    </row>
    <row r="91" spans="2:17" customFormat="1" ht="15" hidden="1" x14ac:dyDescent="0.25">
      <c r="B91">
        <v>10732</v>
      </c>
      <c r="C91" t="s">
        <v>143</v>
      </c>
      <c r="D91" s="1">
        <v>35740</v>
      </c>
      <c r="E91" s="1" t="str">
        <f t="shared" si="3"/>
        <v>nov</v>
      </c>
      <c r="F91" s="1" t="str">
        <f t="shared" si="4"/>
        <v>1997</v>
      </c>
      <c r="G91" s="1">
        <v>35768</v>
      </c>
      <c r="H91" s="1">
        <v>35741</v>
      </c>
      <c r="I91">
        <v>1</v>
      </c>
      <c r="J91" t="str">
        <f t="shared" si="5"/>
        <v>UPS</v>
      </c>
      <c r="K91">
        <v>16.97</v>
      </c>
      <c r="L91" t="s">
        <v>79</v>
      </c>
      <c r="M91" t="s">
        <v>145</v>
      </c>
      <c r="N91" t="s">
        <v>146</v>
      </c>
      <c r="P91" t="s">
        <v>147</v>
      </c>
      <c r="Q91" t="s">
        <v>134</v>
      </c>
    </row>
    <row r="92" spans="2:17" customFormat="1" ht="15" hidden="1" x14ac:dyDescent="0.25">
      <c r="B92">
        <v>10755</v>
      </c>
      <c r="C92" t="s">
        <v>143</v>
      </c>
      <c r="D92" s="1">
        <v>35760</v>
      </c>
      <c r="E92" s="1" t="str">
        <f t="shared" si="3"/>
        <v>nov</v>
      </c>
      <c r="F92" s="1" t="str">
        <f t="shared" si="4"/>
        <v>1997</v>
      </c>
      <c r="G92" s="1">
        <v>35788</v>
      </c>
      <c r="H92" s="1">
        <v>35762</v>
      </c>
      <c r="I92">
        <v>2</v>
      </c>
      <c r="J92" t="str">
        <f t="shared" si="5"/>
        <v>USPS</v>
      </c>
      <c r="K92">
        <v>16.71</v>
      </c>
      <c r="L92" t="s">
        <v>79</v>
      </c>
      <c r="M92" t="s">
        <v>145</v>
      </c>
      <c r="N92" t="s">
        <v>146</v>
      </c>
      <c r="P92" t="s">
        <v>147</v>
      </c>
      <c r="Q92" t="s">
        <v>134</v>
      </c>
    </row>
    <row r="93" spans="2:17" customFormat="1" ht="15" hidden="1" x14ac:dyDescent="0.25">
      <c r="B93">
        <v>10827</v>
      </c>
      <c r="C93" t="s">
        <v>143</v>
      </c>
      <c r="D93" s="1">
        <v>35807</v>
      </c>
      <c r="E93" s="1" t="str">
        <f t="shared" si="3"/>
        <v>jan</v>
      </c>
      <c r="F93" s="1" t="str">
        <f t="shared" si="4"/>
        <v>1998</v>
      </c>
      <c r="G93" s="1">
        <v>35821</v>
      </c>
      <c r="H93" s="1">
        <v>35832</v>
      </c>
      <c r="I93">
        <v>2</v>
      </c>
      <c r="J93" t="str">
        <f t="shared" si="5"/>
        <v>USPS</v>
      </c>
      <c r="K93">
        <v>63.54</v>
      </c>
      <c r="L93" t="s">
        <v>79</v>
      </c>
      <c r="M93" t="s">
        <v>145</v>
      </c>
      <c r="N93" t="s">
        <v>146</v>
      </c>
      <c r="P93" t="s">
        <v>147</v>
      </c>
      <c r="Q93" t="s">
        <v>134</v>
      </c>
    </row>
    <row r="94" spans="2:17" customFormat="1" ht="15" hidden="1" x14ac:dyDescent="0.25">
      <c r="B94">
        <v>10871</v>
      </c>
      <c r="C94" t="s">
        <v>143</v>
      </c>
      <c r="D94" s="1">
        <v>35831</v>
      </c>
      <c r="E94" s="1" t="str">
        <f t="shared" si="3"/>
        <v>fev</v>
      </c>
      <c r="F94" s="1" t="str">
        <f t="shared" si="4"/>
        <v>1998</v>
      </c>
      <c r="G94" s="1">
        <v>35859</v>
      </c>
      <c r="H94" s="1">
        <v>35836</v>
      </c>
      <c r="I94">
        <v>2</v>
      </c>
      <c r="J94" t="str">
        <f t="shared" si="5"/>
        <v>USPS</v>
      </c>
      <c r="K94">
        <v>112.27</v>
      </c>
      <c r="L94" t="s">
        <v>79</v>
      </c>
      <c r="M94" t="s">
        <v>145</v>
      </c>
      <c r="N94" t="s">
        <v>146</v>
      </c>
      <c r="P94" t="s">
        <v>147</v>
      </c>
      <c r="Q94" t="s">
        <v>134</v>
      </c>
    </row>
    <row r="95" spans="2:17" customFormat="1" ht="15" hidden="1" x14ac:dyDescent="0.25">
      <c r="B95">
        <v>10876</v>
      </c>
      <c r="C95" t="s">
        <v>143</v>
      </c>
      <c r="D95" s="1">
        <v>35835</v>
      </c>
      <c r="E95" s="1" t="str">
        <f t="shared" si="3"/>
        <v>fev</v>
      </c>
      <c r="F95" s="1" t="str">
        <f t="shared" si="4"/>
        <v>1998</v>
      </c>
      <c r="G95" s="1">
        <v>35863</v>
      </c>
      <c r="H95" s="1">
        <v>35838</v>
      </c>
      <c r="I95">
        <v>3</v>
      </c>
      <c r="J95" t="str">
        <f t="shared" si="5"/>
        <v>DHL</v>
      </c>
      <c r="K95">
        <v>60.42</v>
      </c>
      <c r="L95" t="s">
        <v>79</v>
      </c>
      <c r="M95" t="s">
        <v>145</v>
      </c>
      <c r="N95" t="s">
        <v>146</v>
      </c>
      <c r="P95" t="s">
        <v>147</v>
      </c>
      <c r="Q95" t="s">
        <v>134</v>
      </c>
    </row>
    <row r="96" spans="2:17" customFormat="1" ht="15" hidden="1" x14ac:dyDescent="0.25">
      <c r="B96">
        <v>10932</v>
      </c>
      <c r="C96" t="s">
        <v>143</v>
      </c>
      <c r="D96" s="1">
        <v>35860</v>
      </c>
      <c r="E96" s="1" t="str">
        <f t="shared" si="3"/>
        <v>mar</v>
      </c>
      <c r="F96" s="1" t="str">
        <f t="shared" si="4"/>
        <v>1998</v>
      </c>
      <c r="G96" s="1">
        <v>35888</v>
      </c>
      <c r="H96" s="1">
        <v>35878</v>
      </c>
      <c r="I96">
        <v>1</v>
      </c>
      <c r="J96" t="str">
        <f t="shared" si="5"/>
        <v>UPS</v>
      </c>
      <c r="K96">
        <v>134.63999999999999</v>
      </c>
      <c r="L96" t="s">
        <v>79</v>
      </c>
      <c r="M96" t="s">
        <v>145</v>
      </c>
      <c r="N96" t="s">
        <v>146</v>
      </c>
      <c r="P96" t="s">
        <v>147</v>
      </c>
      <c r="Q96" t="s">
        <v>134</v>
      </c>
    </row>
    <row r="97" spans="2:17" customFormat="1" ht="15" hidden="1" x14ac:dyDescent="0.25">
      <c r="B97">
        <v>10940</v>
      </c>
      <c r="C97" t="s">
        <v>143</v>
      </c>
      <c r="D97" s="1">
        <v>35865</v>
      </c>
      <c r="E97" s="1" t="str">
        <f t="shared" si="3"/>
        <v>mar</v>
      </c>
      <c r="F97" s="1" t="str">
        <f t="shared" si="4"/>
        <v>1998</v>
      </c>
      <c r="G97" s="1">
        <v>35893</v>
      </c>
      <c r="H97" s="1">
        <v>35877</v>
      </c>
      <c r="I97">
        <v>3</v>
      </c>
      <c r="J97" t="str">
        <f t="shared" si="5"/>
        <v>DHL</v>
      </c>
      <c r="K97">
        <v>19.77</v>
      </c>
      <c r="L97" t="s">
        <v>79</v>
      </c>
      <c r="M97" t="s">
        <v>145</v>
      </c>
      <c r="N97" t="s">
        <v>146</v>
      </c>
      <c r="P97" t="s">
        <v>147</v>
      </c>
      <c r="Q97" t="s">
        <v>134</v>
      </c>
    </row>
    <row r="98" spans="2:17" customFormat="1" ht="15" hidden="1" x14ac:dyDescent="0.25">
      <c r="B98">
        <v>11076</v>
      </c>
      <c r="C98" t="s">
        <v>143</v>
      </c>
      <c r="D98" s="1">
        <v>35921</v>
      </c>
      <c r="E98" s="1" t="str">
        <f t="shared" si="3"/>
        <v>mai</v>
      </c>
      <c r="F98" s="1" t="str">
        <f t="shared" si="4"/>
        <v>1998</v>
      </c>
      <c r="G98" s="1">
        <v>35949</v>
      </c>
      <c r="H98" s="1"/>
      <c r="I98">
        <v>2</v>
      </c>
      <c r="J98" t="str">
        <f t="shared" si="5"/>
        <v>USPS</v>
      </c>
      <c r="K98">
        <v>38.28</v>
      </c>
      <c r="L98" t="s">
        <v>79</v>
      </c>
      <c r="M98" t="s">
        <v>145</v>
      </c>
      <c r="N98" t="s">
        <v>146</v>
      </c>
      <c r="P98" t="s">
        <v>147</v>
      </c>
      <c r="Q98" t="s">
        <v>134</v>
      </c>
    </row>
    <row r="99" spans="2:17" customFormat="1" ht="15" hidden="1" x14ac:dyDescent="0.25">
      <c r="B99">
        <v>10389</v>
      </c>
      <c r="C99" t="s">
        <v>149</v>
      </c>
      <c r="D99" s="1">
        <v>35419</v>
      </c>
      <c r="E99" s="1" t="str">
        <f t="shared" si="3"/>
        <v>dez</v>
      </c>
      <c r="F99" s="1" t="str">
        <f t="shared" si="4"/>
        <v>1996</v>
      </c>
      <c r="G99" s="1">
        <v>35447</v>
      </c>
      <c r="H99" s="1">
        <v>35423</v>
      </c>
      <c r="I99">
        <v>2</v>
      </c>
      <c r="J99" t="str">
        <f t="shared" si="5"/>
        <v>USPS</v>
      </c>
      <c r="K99">
        <v>47.42</v>
      </c>
      <c r="L99" t="s">
        <v>78</v>
      </c>
      <c r="M99" t="s">
        <v>152</v>
      </c>
      <c r="N99" t="s">
        <v>153</v>
      </c>
      <c r="O99" t="s">
        <v>154</v>
      </c>
      <c r="P99" t="s">
        <v>155</v>
      </c>
      <c r="Q99" t="s">
        <v>156</v>
      </c>
    </row>
    <row r="100" spans="2:17" customFormat="1" ht="15" hidden="1" x14ac:dyDescent="0.25">
      <c r="B100">
        <v>10410</v>
      </c>
      <c r="C100" t="s">
        <v>149</v>
      </c>
      <c r="D100" s="1">
        <v>35440</v>
      </c>
      <c r="E100" s="1" t="str">
        <f t="shared" si="3"/>
        <v>jan</v>
      </c>
      <c r="F100" s="1" t="str">
        <f t="shared" si="4"/>
        <v>1997</v>
      </c>
      <c r="G100" s="1">
        <v>35468</v>
      </c>
      <c r="H100" s="1">
        <v>35445</v>
      </c>
      <c r="I100">
        <v>3</v>
      </c>
      <c r="J100" t="str">
        <f t="shared" si="5"/>
        <v>DHL</v>
      </c>
      <c r="K100">
        <v>2.4</v>
      </c>
      <c r="L100" t="s">
        <v>78</v>
      </c>
      <c r="M100" t="s">
        <v>152</v>
      </c>
      <c r="N100" t="s">
        <v>153</v>
      </c>
      <c r="O100" t="s">
        <v>154</v>
      </c>
      <c r="P100" t="s">
        <v>155</v>
      </c>
      <c r="Q100" t="s">
        <v>156</v>
      </c>
    </row>
    <row r="101" spans="2:17" customFormat="1" ht="15" hidden="1" x14ac:dyDescent="0.25">
      <c r="B101">
        <v>10411</v>
      </c>
      <c r="C101" t="s">
        <v>149</v>
      </c>
      <c r="D101" s="1">
        <v>35440</v>
      </c>
      <c r="E101" s="1" t="str">
        <f t="shared" si="3"/>
        <v>jan</v>
      </c>
      <c r="F101" s="1" t="str">
        <f t="shared" si="4"/>
        <v>1997</v>
      </c>
      <c r="G101" s="1">
        <v>35468</v>
      </c>
      <c r="H101" s="1">
        <v>35451</v>
      </c>
      <c r="I101">
        <v>3</v>
      </c>
      <c r="J101" t="str">
        <f t="shared" si="5"/>
        <v>DHL</v>
      </c>
      <c r="K101">
        <v>23.65</v>
      </c>
      <c r="L101" t="s">
        <v>78</v>
      </c>
      <c r="M101" t="s">
        <v>152</v>
      </c>
      <c r="N101" t="s">
        <v>153</v>
      </c>
      <c r="O101" t="s">
        <v>154</v>
      </c>
      <c r="P101" t="s">
        <v>155</v>
      </c>
      <c r="Q101" t="s">
        <v>156</v>
      </c>
    </row>
    <row r="102" spans="2:17" customFormat="1" ht="15" hidden="1" x14ac:dyDescent="0.25">
      <c r="B102">
        <v>10431</v>
      </c>
      <c r="C102" t="s">
        <v>149</v>
      </c>
      <c r="D102" s="1">
        <v>35460</v>
      </c>
      <c r="E102" s="1" t="str">
        <f t="shared" si="3"/>
        <v>jan</v>
      </c>
      <c r="F102" s="1" t="str">
        <f t="shared" si="4"/>
        <v>1997</v>
      </c>
      <c r="G102" s="1">
        <v>35474</v>
      </c>
      <c r="H102" s="1">
        <v>35468</v>
      </c>
      <c r="I102">
        <v>2</v>
      </c>
      <c r="J102" t="str">
        <f t="shared" si="5"/>
        <v>USPS</v>
      </c>
      <c r="K102">
        <v>44.17</v>
      </c>
      <c r="L102" t="s">
        <v>78</v>
      </c>
      <c r="M102" t="s">
        <v>152</v>
      </c>
      <c r="N102" t="s">
        <v>153</v>
      </c>
      <c r="O102" t="s">
        <v>154</v>
      </c>
      <c r="P102" t="s">
        <v>155</v>
      </c>
      <c r="Q102" t="s">
        <v>156</v>
      </c>
    </row>
    <row r="103" spans="2:17" customFormat="1" ht="15" hidden="1" x14ac:dyDescent="0.25">
      <c r="B103">
        <v>10492</v>
      </c>
      <c r="C103" t="s">
        <v>149</v>
      </c>
      <c r="D103" s="1">
        <v>35521</v>
      </c>
      <c r="E103" s="1" t="str">
        <f t="shared" si="3"/>
        <v>abr</v>
      </c>
      <c r="F103" s="1" t="str">
        <f t="shared" si="4"/>
        <v>1997</v>
      </c>
      <c r="G103" s="1">
        <v>35549</v>
      </c>
      <c r="H103" s="1">
        <v>35531</v>
      </c>
      <c r="I103">
        <v>1</v>
      </c>
      <c r="J103" t="str">
        <f t="shared" si="5"/>
        <v>UPS</v>
      </c>
      <c r="K103">
        <v>62.89</v>
      </c>
      <c r="L103" t="s">
        <v>78</v>
      </c>
      <c r="M103" t="s">
        <v>152</v>
      </c>
      <c r="N103" t="s">
        <v>153</v>
      </c>
      <c r="O103" t="s">
        <v>154</v>
      </c>
      <c r="P103" t="s">
        <v>155</v>
      </c>
      <c r="Q103" t="s">
        <v>156</v>
      </c>
    </row>
    <row r="104" spans="2:17" customFormat="1" ht="15" hidden="1" x14ac:dyDescent="0.25">
      <c r="B104">
        <v>10742</v>
      </c>
      <c r="C104" t="s">
        <v>149</v>
      </c>
      <c r="D104" s="1">
        <v>35748</v>
      </c>
      <c r="E104" s="1" t="str">
        <f t="shared" si="3"/>
        <v>nov</v>
      </c>
      <c r="F104" s="1" t="str">
        <f t="shared" si="4"/>
        <v>1997</v>
      </c>
      <c r="G104" s="1">
        <v>35776</v>
      </c>
      <c r="H104" s="1">
        <v>35752</v>
      </c>
      <c r="I104">
        <v>3</v>
      </c>
      <c r="J104" t="str">
        <f t="shared" si="5"/>
        <v>DHL</v>
      </c>
      <c r="K104">
        <v>243.73</v>
      </c>
      <c r="L104" t="s">
        <v>78</v>
      </c>
      <c r="M104" t="s">
        <v>152</v>
      </c>
      <c r="N104" t="s">
        <v>153</v>
      </c>
      <c r="O104" t="s">
        <v>154</v>
      </c>
      <c r="P104" t="s">
        <v>155</v>
      </c>
      <c r="Q104" t="s">
        <v>156</v>
      </c>
    </row>
    <row r="105" spans="2:17" customFormat="1" ht="15" hidden="1" x14ac:dyDescent="0.25">
      <c r="B105">
        <v>10918</v>
      </c>
      <c r="C105" t="s">
        <v>149</v>
      </c>
      <c r="D105" s="1">
        <v>35856</v>
      </c>
      <c r="E105" s="1" t="str">
        <f t="shared" si="3"/>
        <v>mar</v>
      </c>
      <c r="F105" s="1" t="str">
        <f t="shared" si="4"/>
        <v>1998</v>
      </c>
      <c r="G105" s="1">
        <v>35884</v>
      </c>
      <c r="H105" s="1">
        <v>35865</v>
      </c>
      <c r="I105">
        <v>3</v>
      </c>
      <c r="J105" t="str">
        <f t="shared" si="5"/>
        <v>DHL</v>
      </c>
      <c r="K105">
        <v>48.83</v>
      </c>
      <c r="L105" t="s">
        <v>78</v>
      </c>
      <c r="M105" t="s">
        <v>152</v>
      </c>
      <c r="N105" t="s">
        <v>153</v>
      </c>
      <c r="O105" t="s">
        <v>154</v>
      </c>
      <c r="P105" t="s">
        <v>155</v>
      </c>
      <c r="Q105" t="s">
        <v>156</v>
      </c>
    </row>
    <row r="106" spans="2:17" customFormat="1" ht="15" hidden="1" x14ac:dyDescent="0.25">
      <c r="B106">
        <v>10944</v>
      </c>
      <c r="C106" t="s">
        <v>149</v>
      </c>
      <c r="D106" s="1">
        <v>35866</v>
      </c>
      <c r="E106" s="1" t="str">
        <f t="shared" si="3"/>
        <v>mar</v>
      </c>
      <c r="F106" s="1" t="str">
        <f t="shared" si="4"/>
        <v>1998</v>
      </c>
      <c r="G106" s="1">
        <v>35880</v>
      </c>
      <c r="H106" s="1">
        <v>35867</v>
      </c>
      <c r="I106">
        <v>3</v>
      </c>
      <c r="J106" t="str">
        <f t="shared" si="5"/>
        <v>DHL</v>
      </c>
      <c r="K106">
        <v>52.92</v>
      </c>
      <c r="L106" t="s">
        <v>78</v>
      </c>
      <c r="M106" t="s">
        <v>152</v>
      </c>
      <c r="N106" t="s">
        <v>153</v>
      </c>
      <c r="O106" t="s">
        <v>154</v>
      </c>
      <c r="P106" t="s">
        <v>155</v>
      </c>
      <c r="Q106" t="s">
        <v>156</v>
      </c>
    </row>
    <row r="107" spans="2:17" customFormat="1" ht="15" hidden="1" x14ac:dyDescent="0.25">
      <c r="B107">
        <v>10949</v>
      </c>
      <c r="C107" t="s">
        <v>149</v>
      </c>
      <c r="D107" s="1">
        <v>35867</v>
      </c>
      <c r="E107" s="1" t="str">
        <f t="shared" si="3"/>
        <v>mar</v>
      </c>
      <c r="F107" s="1" t="str">
        <f t="shared" si="4"/>
        <v>1998</v>
      </c>
      <c r="G107" s="1">
        <v>35895</v>
      </c>
      <c r="H107" s="1">
        <v>35871</v>
      </c>
      <c r="I107">
        <v>3</v>
      </c>
      <c r="J107" t="str">
        <f t="shared" si="5"/>
        <v>DHL</v>
      </c>
      <c r="K107">
        <v>74.44</v>
      </c>
      <c r="L107" t="s">
        <v>78</v>
      </c>
      <c r="M107" t="s">
        <v>152</v>
      </c>
      <c r="N107" t="s">
        <v>153</v>
      </c>
      <c r="O107" t="s">
        <v>154</v>
      </c>
      <c r="P107" t="s">
        <v>155</v>
      </c>
      <c r="Q107" t="s">
        <v>156</v>
      </c>
    </row>
    <row r="108" spans="2:17" customFormat="1" ht="15" hidden="1" x14ac:dyDescent="0.25">
      <c r="B108">
        <v>10975</v>
      </c>
      <c r="C108" t="s">
        <v>149</v>
      </c>
      <c r="D108" s="1">
        <v>35879</v>
      </c>
      <c r="E108" s="1" t="str">
        <f t="shared" si="3"/>
        <v>mar</v>
      </c>
      <c r="F108" s="1" t="str">
        <f t="shared" si="4"/>
        <v>1998</v>
      </c>
      <c r="G108" s="1">
        <v>35907</v>
      </c>
      <c r="H108" s="1">
        <v>35881</v>
      </c>
      <c r="I108">
        <v>3</v>
      </c>
      <c r="J108" t="str">
        <f t="shared" si="5"/>
        <v>DHL</v>
      </c>
      <c r="K108">
        <v>32.270000000000003</v>
      </c>
      <c r="L108" t="s">
        <v>78</v>
      </c>
      <c r="M108" t="s">
        <v>152</v>
      </c>
      <c r="N108" t="s">
        <v>153</v>
      </c>
      <c r="O108" t="s">
        <v>154</v>
      </c>
      <c r="P108" t="s">
        <v>155</v>
      </c>
      <c r="Q108" t="s">
        <v>156</v>
      </c>
    </row>
    <row r="109" spans="2:17" customFormat="1" ht="15" hidden="1" x14ac:dyDescent="0.25">
      <c r="B109">
        <v>10982</v>
      </c>
      <c r="C109" t="s">
        <v>149</v>
      </c>
      <c r="D109" s="1">
        <v>35881</v>
      </c>
      <c r="E109" s="1" t="str">
        <f t="shared" si="3"/>
        <v>mar</v>
      </c>
      <c r="F109" s="1" t="str">
        <f t="shared" si="4"/>
        <v>1998</v>
      </c>
      <c r="G109" s="1">
        <v>35909</v>
      </c>
      <c r="H109" s="1">
        <v>35893</v>
      </c>
      <c r="I109">
        <v>1</v>
      </c>
      <c r="J109" t="str">
        <f t="shared" si="5"/>
        <v>UPS</v>
      </c>
      <c r="K109">
        <v>14.01</v>
      </c>
      <c r="L109" t="s">
        <v>78</v>
      </c>
      <c r="M109" t="s">
        <v>152</v>
      </c>
      <c r="N109" t="s">
        <v>153</v>
      </c>
      <c r="O109" t="s">
        <v>154</v>
      </c>
      <c r="P109" t="s">
        <v>155</v>
      </c>
      <c r="Q109" t="s">
        <v>156</v>
      </c>
    </row>
    <row r="110" spans="2:17" customFormat="1" ht="15" hidden="1" x14ac:dyDescent="0.25">
      <c r="B110">
        <v>11027</v>
      </c>
      <c r="C110" t="s">
        <v>149</v>
      </c>
      <c r="D110" s="1">
        <v>35901</v>
      </c>
      <c r="E110" s="1" t="str">
        <f t="shared" si="3"/>
        <v>abr</v>
      </c>
      <c r="F110" s="1" t="str">
        <f t="shared" si="4"/>
        <v>1998</v>
      </c>
      <c r="G110" s="1">
        <v>35929</v>
      </c>
      <c r="H110" s="1">
        <v>35905</v>
      </c>
      <c r="I110">
        <v>1</v>
      </c>
      <c r="J110" t="str">
        <f t="shared" si="5"/>
        <v>UPS</v>
      </c>
      <c r="K110">
        <v>52.52</v>
      </c>
      <c r="L110" t="s">
        <v>78</v>
      </c>
      <c r="M110" t="s">
        <v>152</v>
      </c>
      <c r="N110" t="s">
        <v>153</v>
      </c>
      <c r="O110" t="s">
        <v>154</v>
      </c>
      <c r="P110" t="s">
        <v>155</v>
      </c>
      <c r="Q110" t="s">
        <v>156</v>
      </c>
    </row>
    <row r="111" spans="2:17" customFormat="1" ht="15" hidden="1" x14ac:dyDescent="0.25">
      <c r="B111">
        <v>11045</v>
      </c>
      <c r="C111" t="s">
        <v>149</v>
      </c>
      <c r="D111" s="1">
        <v>35908</v>
      </c>
      <c r="E111" s="1" t="str">
        <f t="shared" si="3"/>
        <v>abr</v>
      </c>
      <c r="F111" s="1" t="str">
        <f t="shared" si="4"/>
        <v>1998</v>
      </c>
      <c r="G111" s="1">
        <v>35936</v>
      </c>
      <c r="H111" s="1"/>
      <c r="I111">
        <v>2</v>
      </c>
      <c r="J111" t="str">
        <f t="shared" si="5"/>
        <v>USPS</v>
      </c>
      <c r="K111">
        <v>70.58</v>
      </c>
      <c r="L111" t="s">
        <v>78</v>
      </c>
      <c r="M111" t="s">
        <v>152</v>
      </c>
      <c r="N111" t="s">
        <v>153</v>
      </c>
      <c r="O111" t="s">
        <v>154</v>
      </c>
      <c r="P111" t="s">
        <v>155</v>
      </c>
      <c r="Q111" t="s">
        <v>156</v>
      </c>
    </row>
    <row r="112" spans="2:17" customFormat="1" ht="15" hidden="1" x14ac:dyDescent="0.25">
      <c r="B112">
        <v>11048</v>
      </c>
      <c r="C112" t="s">
        <v>149</v>
      </c>
      <c r="D112" s="1">
        <v>35909</v>
      </c>
      <c r="E112" s="1" t="str">
        <f t="shared" si="3"/>
        <v>abr</v>
      </c>
      <c r="F112" s="1" t="str">
        <f t="shared" si="4"/>
        <v>1998</v>
      </c>
      <c r="G112" s="1">
        <v>35937</v>
      </c>
      <c r="H112" s="1">
        <v>35915</v>
      </c>
      <c r="I112">
        <v>3</v>
      </c>
      <c r="J112" t="str">
        <f t="shared" si="5"/>
        <v>DHL</v>
      </c>
      <c r="K112">
        <v>24.12</v>
      </c>
      <c r="L112" t="s">
        <v>78</v>
      </c>
      <c r="M112" t="s">
        <v>152</v>
      </c>
      <c r="N112" t="s">
        <v>153</v>
      </c>
      <c r="O112" t="s">
        <v>154</v>
      </c>
      <c r="P112" t="s">
        <v>155</v>
      </c>
      <c r="Q112" t="s">
        <v>156</v>
      </c>
    </row>
    <row r="113" spans="2:17" customFormat="1" ht="15" hidden="1" x14ac:dyDescent="0.25">
      <c r="B113">
        <v>10289</v>
      </c>
      <c r="C113" t="s">
        <v>158</v>
      </c>
      <c r="D113" s="1">
        <v>35303</v>
      </c>
      <c r="E113" s="1" t="str">
        <f t="shared" si="3"/>
        <v>ago</v>
      </c>
      <c r="F113" s="1" t="str">
        <f t="shared" si="4"/>
        <v>1996</v>
      </c>
      <c r="G113" s="1">
        <v>35331</v>
      </c>
      <c r="H113" s="1">
        <v>35305</v>
      </c>
      <c r="I113">
        <v>3</v>
      </c>
      <c r="J113" t="str">
        <f t="shared" si="5"/>
        <v>DHL</v>
      </c>
      <c r="K113">
        <v>22.77</v>
      </c>
      <c r="L113" t="s">
        <v>77</v>
      </c>
      <c r="M113" t="s">
        <v>160</v>
      </c>
      <c r="N113" t="s">
        <v>111</v>
      </c>
      <c r="P113" t="s">
        <v>161</v>
      </c>
      <c r="Q113" t="s">
        <v>113</v>
      </c>
    </row>
    <row r="114" spans="2:17" customFormat="1" ht="15" hidden="1" x14ac:dyDescent="0.25">
      <c r="B114">
        <v>10471</v>
      </c>
      <c r="C114" t="s">
        <v>158</v>
      </c>
      <c r="D114" s="1">
        <v>35500</v>
      </c>
      <c r="E114" s="1" t="str">
        <f t="shared" si="3"/>
        <v>mar</v>
      </c>
      <c r="F114" s="1" t="str">
        <f t="shared" si="4"/>
        <v>1997</v>
      </c>
      <c r="G114" s="1">
        <v>35528</v>
      </c>
      <c r="H114" s="1">
        <v>35507</v>
      </c>
      <c r="I114">
        <v>3</v>
      </c>
      <c r="J114" t="str">
        <f t="shared" si="5"/>
        <v>DHL</v>
      </c>
      <c r="K114">
        <v>45.59</v>
      </c>
      <c r="L114" t="s">
        <v>77</v>
      </c>
      <c r="M114" t="s">
        <v>160</v>
      </c>
      <c r="N114" t="s">
        <v>111</v>
      </c>
      <c r="P114" t="s">
        <v>161</v>
      </c>
      <c r="Q114" t="s">
        <v>113</v>
      </c>
    </row>
    <row r="115" spans="2:17" customFormat="1" ht="15" hidden="1" x14ac:dyDescent="0.25">
      <c r="B115">
        <v>10484</v>
      </c>
      <c r="C115" t="s">
        <v>158</v>
      </c>
      <c r="D115" s="1">
        <v>35513</v>
      </c>
      <c r="E115" s="1" t="str">
        <f t="shared" si="3"/>
        <v>mar</v>
      </c>
      <c r="F115" s="1" t="str">
        <f t="shared" si="4"/>
        <v>1997</v>
      </c>
      <c r="G115" s="1">
        <v>35541</v>
      </c>
      <c r="H115" s="1">
        <v>35521</v>
      </c>
      <c r="I115">
        <v>3</v>
      </c>
      <c r="J115" t="str">
        <f t="shared" si="5"/>
        <v>DHL</v>
      </c>
      <c r="K115">
        <v>6.88</v>
      </c>
      <c r="L115" t="s">
        <v>77</v>
      </c>
      <c r="M115" t="s">
        <v>160</v>
      </c>
      <c r="N115" t="s">
        <v>111</v>
      </c>
      <c r="P115" t="s">
        <v>161</v>
      </c>
      <c r="Q115" t="s">
        <v>113</v>
      </c>
    </row>
    <row r="116" spans="2:17" customFormat="1" ht="15" hidden="1" x14ac:dyDescent="0.25">
      <c r="B116">
        <v>10538</v>
      </c>
      <c r="C116" t="s">
        <v>158</v>
      </c>
      <c r="D116" s="1">
        <v>35565</v>
      </c>
      <c r="E116" s="1" t="str">
        <f t="shared" si="3"/>
        <v>mai</v>
      </c>
      <c r="F116" s="1" t="str">
        <f t="shared" si="4"/>
        <v>1997</v>
      </c>
      <c r="G116" s="1">
        <v>35593</v>
      </c>
      <c r="H116" s="1">
        <v>35566</v>
      </c>
      <c r="I116">
        <v>3</v>
      </c>
      <c r="J116" t="str">
        <f t="shared" si="5"/>
        <v>DHL</v>
      </c>
      <c r="K116">
        <v>4.87</v>
      </c>
      <c r="L116" t="s">
        <v>77</v>
      </c>
      <c r="M116" t="s">
        <v>160</v>
      </c>
      <c r="N116" t="s">
        <v>111</v>
      </c>
      <c r="P116" t="s">
        <v>161</v>
      </c>
      <c r="Q116" t="s">
        <v>113</v>
      </c>
    </row>
    <row r="117" spans="2:17" customFormat="1" ht="15" hidden="1" x14ac:dyDescent="0.25">
      <c r="B117">
        <v>10539</v>
      </c>
      <c r="C117" t="s">
        <v>158</v>
      </c>
      <c r="D117" s="1">
        <v>35566</v>
      </c>
      <c r="E117" s="1" t="str">
        <f t="shared" si="3"/>
        <v>mai</v>
      </c>
      <c r="F117" s="1" t="str">
        <f t="shared" si="4"/>
        <v>1997</v>
      </c>
      <c r="G117" s="1">
        <v>35594</v>
      </c>
      <c r="H117" s="1">
        <v>35573</v>
      </c>
      <c r="I117">
        <v>3</v>
      </c>
      <c r="J117" t="str">
        <f t="shared" si="5"/>
        <v>DHL</v>
      </c>
      <c r="K117">
        <v>12.36</v>
      </c>
      <c r="L117" t="s">
        <v>77</v>
      </c>
      <c r="M117" t="s">
        <v>160</v>
      </c>
      <c r="N117" t="s">
        <v>111</v>
      </c>
      <c r="P117" t="s">
        <v>161</v>
      </c>
      <c r="Q117" t="s">
        <v>113</v>
      </c>
    </row>
    <row r="118" spans="2:17" customFormat="1" ht="15" hidden="1" x14ac:dyDescent="0.25">
      <c r="B118">
        <v>10578</v>
      </c>
      <c r="C118" t="s">
        <v>158</v>
      </c>
      <c r="D118" s="1">
        <v>35605</v>
      </c>
      <c r="E118" s="1" t="str">
        <f t="shared" si="3"/>
        <v>jun</v>
      </c>
      <c r="F118" s="1" t="str">
        <f t="shared" si="4"/>
        <v>1997</v>
      </c>
      <c r="G118" s="1">
        <v>35633</v>
      </c>
      <c r="H118" s="1">
        <v>35636</v>
      </c>
      <c r="I118">
        <v>3</v>
      </c>
      <c r="J118" t="str">
        <f t="shared" si="5"/>
        <v>DHL</v>
      </c>
      <c r="K118">
        <v>29.6</v>
      </c>
      <c r="L118" t="s">
        <v>77</v>
      </c>
      <c r="M118" t="s">
        <v>160</v>
      </c>
      <c r="N118" t="s">
        <v>111</v>
      </c>
      <c r="P118" t="s">
        <v>161</v>
      </c>
      <c r="Q118" t="s">
        <v>113</v>
      </c>
    </row>
    <row r="119" spans="2:17" customFormat="1" ht="15" hidden="1" x14ac:dyDescent="0.25">
      <c r="B119">
        <v>10599</v>
      </c>
      <c r="C119" t="s">
        <v>158</v>
      </c>
      <c r="D119" s="1">
        <v>35626</v>
      </c>
      <c r="E119" s="1" t="str">
        <f t="shared" si="3"/>
        <v>jul</v>
      </c>
      <c r="F119" s="1" t="str">
        <f t="shared" si="4"/>
        <v>1997</v>
      </c>
      <c r="G119" s="1">
        <v>35668</v>
      </c>
      <c r="H119" s="1">
        <v>35632</v>
      </c>
      <c r="I119">
        <v>3</v>
      </c>
      <c r="J119" t="str">
        <f t="shared" si="5"/>
        <v>DHL</v>
      </c>
      <c r="K119">
        <v>29.98</v>
      </c>
      <c r="L119" t="s">
        <v>77</v>
      </c>
      <c r="M119" t="s">
        <v>160</v>
      </c>
      <c r="N119" t="s">
        <v>111</v>
      </c>
      <c r="P119" t="s">
        <v>161</v>
      </c>
      <c r="Q119" t="s">
        <v>113</v>
      </c>
    </row>
    <row r="120" spans="2:17" customFormat="1" ht="15" hidden="1" x14ac:dyDescent="0.25">
      <c r="B120">
        <v>10943</v>
      </c>
      <c r="C120" t="s">
        <v>158</v>
      </c>
      <c r="D120" s="1">
        <v>35865</v>
      </c>
      <c r="E120" s="1" t="str">
        <f t="shared" si="3"/>
        <v>mar</v>
      </c>
      <c r="F120" s="1" t="str">
        <f t="shared" si="4"/>
        <v>1998</v>
      </c>
      <c r="G120" s="1">
        <v>35893</v>
      </c>
      <c r="H120" s="1">
        <v>35873</v>
      </c>
      <c r="I120">
        <v>2</v>
      </c>
      <c r="J120" t="str">
        <f t="shared" si="5"/>
        <v>USPS</v>
      </c>
      <c r="K120">
        <v>2.17</v>
      </c>
      <c r="L120" t="s">
        <v>77</v>
      </c>
      <c r="M120" t="s">
        <v>160</v>
      </c>
      <c r="N120" t="s">
        <v>111</v>
      </c>
      <c r="P120" t="s">
        <v>161</v>
      </c>
      <c r="Q120" t="s">
        <v>113</v>
      </c>
    </row>
    <row r="121" spans="2:17" customFormat="1" ht="15" hidden="1" x14ac:dyDescent="0.25">
      <c r="B121">
        <v>10947</v>
      </c>
      <c r="C121" t="s">
        <v>158</v>
      </c>
      <c r="D121" s="1">
        <v>35867</v>
      </c>
      <c r="E121" s="1" t="str">
        <f t="shared" si="3"/>
        <v>mar</v>
      </c>
      <c r="F121" s="1" t="str">
        <f t="shared" si="4"/>
        <v>1998</v>
      </c>
      <c r="G121" s="1">
        <v>35895</v>
      </c>
      <c r="H121" s="1">
        <v>35870</v>
      </c>
      <c r="I121">
        <v>2</v>
      </c>
      <c r="J121" t="str">
        <f t="shared" si="5"/>
        <v>USPS</v>
      </c>
      <c r="K121">
        <v>3.26</v>
      </c>
      <c r="L121" t="s">
        <v>77</v>
      </c>
      <c r="M121" t="s">
        <v>160</v>
      </c>
      <c r="N121" t="s">
        <v>111</v>
      </c>
      <c r="P121" t="s">
        <v>161</v>
      </c>
      <c r="Q121" t="s">
        <v>113</v>
      </c>
    </row>
    <row r="122" spans="2:17" customFormat="1" ht="15" hidden="1" x14ac:dyDescent="0.25">
      <c r="B122">
        <v>11023</v>
      </c>
      <c r="C122" t="s">
        <v>158</v>
      </c>
      <c r="D122" s="1">
        <v>35899</v>
      </c>
      <c r="E122" s="1" t="str">
        <f t="shared" si="3"/>
        <v>abr</v>
      </c>
      <c r="F122" s="1" t="str">
        <f t="shared" si="4"/>
        <v>1998</v>
      </c>
      <c r="G122" s="1">
        <v>35913</v>
      </c>
      <c r="H122" s="1">
        <v>35909</v>
      </c>
      <c r="I122">
        <v>2</v>
      </c>
      <c r="J122" t="str">
        <f t="shared" si="5"/>
        <v>USPS</v>
      </c>
      <c r="K122">
        <v>123.83</v>
      </c>
      <c r="L122" t="s">
        <v>77</v>
      </c>
      <c r="M122" t="s">
        <v>160</v>
      </c>
      <c r="N122" t="s">
        <v>111</v>
      </c>
      <c r="P122" t="s">
        <v>161</v>
      </c>
      <c r="Q122" t="s">
        <v>113</v>
      </c>
    </row>
    <row r="123" spans="2:17" customFormat="1" ht="15" hidden="1" x14ac:dyDescent="0.25">
      <c r="B123">
        <v>10521</v>
      </c>
      <c r="C123" t="s">
        <v>163</v>
      </c>
      <c r="D123" s="1">
        <v>35549</v>
      </c>
      <c r="E123" s="1" t="str">
        <f t="shared" si="3"/>
        <v>abr</v>
      </c>
      <c r="F123" s="1" t="str">
        <f t="shared" si="4"/>
        <v>1997</v>
      </c>
      <c r="G123" s="1">
        <v>35577</v>
      </c>
      <c r="H123" s="1">
        <v>35552</v>
      </c>
      <c r="I123">
        <v>2</v>
      </c>
      <c r="J123" t="str">
        <f t="shared" si="5"/>
        <v>USPS</v>
      </c>
      <c r="K123">
        <v>17.22</v>
      </c>
      <c r="L123" t="s">
        <v>76</v>
      </c>
      <c r="M123" t="s">
        <v>166</v>
      </c>
      <c r="N123" t="s">
        <v>167</v>
      </c>
      <c r="P123" t="s">
        <v>168</v>
      </c>
      <c r="Q123" t="s">
        <v>169</v>
      </c>
    </row>
    <row r="124" spans="2:17" customFormat="1" ht="15" hidden="1" x14ac:dyDescent="0.25">
      <c r="B124">
        <v>10782</v>
      </c>
      <c r="C124" t="s">
        <v>163</v>
      </c>
      <c r="D124" s="1">
        <v>35781</v>
      </c>
      <c r="E124" s="1" t="str">
        <f t="shared" si="3"/>
        <v>dez</v>
      </c>
      <c r="F124" s="1" t="str">
        <f t="shared" si="4"/>
        <v>1997</v>
      </c>
      <c r="G124" s="1">
        <v>35809</v>
      </c>
      <c r="H124" s="1">
        <v>35786</v>
      </c>
      <c r="I124">
        <v>3</v>
      </c>
      <c r="J124" t="str">
        <f t="shared" si="5"/>
        <v>DHL</v>
      </c>
      <c r="K124">
        <v>1.1000000000000001</v>
      </c>
      <c r="L124" t="s">
        <v>76</v>
      </c>
      <c r="M124" t="s">
        <v>166</v>
      </c>
      <c r="N124" t="s">
        <v>167</v>
      </c>
      <c r="P124" t="s">
        <v>168</v>
      </c>
      <c r="Q124" t="s">
        <v>169</v>
      </c>
    </row>
    <row r="125" spans="2:17" customFormat="1" ht="15" hidden="1" x14ac:dyDescent="0.25">
      <c r="B125">
        <v>10819</v>
      </c>
      <c r="C125" t="s">
        <v>163</v>
      </c>
      <c r="D125" s="1">
        <v>35802</v>
      </c>
      <c r="E125" s="1" t="str">
        <f t="shared" si="3"/>
        <v>jan</v>
      </c>
      <c r="F125" s="1" t="str">
        <f t="shared" si="4"/>
        <v>1998</v>
      </c>
      <c r="G125" s="1">
        <v>35830</v>
      </c>
      <c r="H125" s="1">
        <v>35811</v>
      </c>
      <c r="I125">
        <v>3</v>
      </c>
      <c r="J125" t="str">
        <f t="shared" si="5"/>
        <v>DHL</v>
      </c>
      <c r="K125">
        <v>19.760000000000002</v>
      </c>
      <c r="L125" t="s">
        <v>76</v>
      </c>
      <c r="M125" t="s">
        <v>166</v>
      </c>
      <c r="N125" t="s">
        <v>167</v>
      </c>
      <c r="P125" t="s">
        <v>168</v>
      </c>
      <c r="Q125" t="s">
        <v>169</v>
      </c>
    </row>
    <row r="126" spans="2:17" customFormat="1" ht="15" hidden="1" x14ac:dyDescent="0.25">
      <c r="B126">
        <v>10881</v>
      </c>
      <c r="C126" t="s">
        <v>163</v>
      </c>
      <c r="D126" s="1">
        <v>35837</v>
      </c>
      <c r="E126" s="1" t="str">
        <f t="shared" si="3"/>
        <v>fev</v>
      </c>
      <c r="F126" s="1" t="str">
        <f t="shared" si="4"/>
        <v>1998</v>
      </c>
      <c r="G126" s="1">
        <v>35865</v>
      </c>
      <c r="H126" s="1">
        <v>35844</v>
      </c>
      <c r="I126">
        <v>1</v>
      </c>
      <c r="J126" t="str">
        <f t="shared" si="5"/>
        <v>UPS</v>
      </c>
      <c r="K126">
        <v>2.84</v>
      </c>
      <c r="L126" t="s">
        <v>76</v>
      </c>
      <c r="M126" t="s">
        <v>166</v>
      </c>
      <c r="N126" t="s">
        <v>167</v>
      </c>
      <c r="P126" t="s">
        <v>168</v>
      </c>
      <c r="Q126" t="s">
        <v>169</v>
      </c>
    </row>
    <row r="127" spans="2:17" customFormat="1" ht="15" hidden="1" x14ac:dyDescent="0.25">
      <c r="B127">
        <v>10937</v>
      </c>
      <c r="C127" t="s">
        <v>163</v>
      </c>
      <c r="D127" s="1">
        <v>35864</v>
      </c>
      <c r="E127" s="1" t="str">
        <f t="shared" si="3"/>
        <v>mar</v>
      </c>
      <c r="F127" s="1" t="str">
        <f t="shared" si="4"/>
        <v>1998</v>
      </c>
      <c r="G127" s="1">
        <v>35878</v>
      </c>
      <c r="H127" s="1">
        <v>35867</v>
      </c>
      <c r="I127">
        <v>3</v>
      </c>
      <c r="J127" t="str">
        <f t="shared" si="5"/>
        <v>DHL</v>
      </c>
      <c r="K127">
        <v>31.51</v>
      </c>
      <c r="L127" t="s">
        <v>76</v>
      </c>
      <c r="M127" t="s">
        <v>166</v>
      </c>
      <c r="N127" t="s">
        <v>167</v>
      </c>
      <c r="P127" t="s">
        <v>168</v>
      </c>
      <c r="Q127" t="s">
        <v>169</v>
      </c>
    </row>
    <row r="128" spans="2:17" customFormat="1" ht="15" hidden="1" x14ac:dyDescent="0.25">
      <c r="B128">
        <v>11054</v>
      </c>
      <c r="C128" t="s">
        <v>163</v>
      </c>
      <c r="D128" s="1">
        <v>35913</v>
      </c>
      <c r="E128" s="1" t="str">
        <f t="shared" si="3"/>
        <v>abr</v>
      </c>
      <c r="F128" s="1" t="str">
        <f t="shared" si="4"/>
        <v>1998</v>
      </c>
      <c r="G128" s="1">
        <v>35941</v>
      </c>
      <c r="H128" s="1"/>
      <c r="I128">
        <v>1</v>
      </c>
      <c r="J128" t="str">
        <f t="shared" si="5"/>
        <v>UPS</v>
      </c>
      <c r="K128">
        <v>0.33</v>
      </c>
      <c r="L128" t="s">
        <v>76</v>
      </c>
      <c r="M128" t="s">
        <v>166</v>
      </c>
      <c r="N128" t="s">
        <v>167</v>
      </c>
      <c r="P128" t="s">
        <v>168</v>
      </c>
      <c r="Q128" t="s">
        <v>169</v>
      </c>
    </row>
    <row r="129" spans="2:17" customFormat="1" ht="15" hidden="1" x14ac:dyDescent="0.25">
      <c r="B129">
        <v>10259</v>
      </c>
      <c r="C129" t="s">
        <v>171</v>
      </c>
      <c r="D129" s="1">
        <v>35264</v>
      </c>
      <c r="E129" s="1" t="str">
        <f t="shared" si="3"/>
        <v>jul</v>
      </c>
      <c r="F129" s="1" t="str">
        <f t="shared" si="4"/>
        <v>1996</v>
      </c>
      <c r="G129" s="1">
        <v>35292</v>
      </c>
      <c r="H129" s="1">
        <v>35271</v>
      </c>
      <c r="I129">
        <v>3</v>
      </c>
      <c r="J129" t="str">
        <f t="shared" si="5"/>
        <v>DHL</v>
      </c>
      <c r="K129">
        <v>3.25</v>
      </c>
      <c r="L129" t="s">
        <v>75</v>
      </c>
      <c r="M129" t="s">
        <v>173</v>
      </c>
      <c r="N129" t="s">
        <v>100</v>
      </c>
      <c r="P129" t="s">
        <v>174</v>
      </c>
      <c r="Q129" t="s">
        <v>102</v>
      </c>
    </row>
    <row r="130" spans="2:17" customFormat="1" ht="15" hidden="1" x14ac:dyDescent="0.25">
      <c r="B130">
        <v>10254</v>
      </c>
      <c r="C130" t="s">
        <v>176</v>
      </c>
      <c r="D130" s="1">
        <v>35257</v>
      </c>
      <c r="E130" s="1" t="str">
        <f t="shared" si="3"/>
        <v>jul</v>
      </c>
      <c r="F130" s="1" t="str">
        <f t="shared" si="4"/>
        <v>1996</v>
      </c>
      <c r="G130" s="1">
        <v>35285</v>
      </c>
      <c r="H130" s="1">
        <v>35269</v>
      </c>
      <c r="I130">
        <v>2</v>
      </c>
      <c r="J130" t="str">
        <f t="shared" si="5"/>
        <v>USPS</v>
      </c>
      <c r="K130">
        <v>22.98</v>
      </c>
      <c r="L130" t="s">
        <v>74</v>
      </c>
      <c r="M130" t="s">
        <v>663</v>
      </c>
      <c r="N130" t="s">
        <v>178</v>
      </c>
      <c r="P130" t="s">
        <v>179</v>
      </c>
      <c r="Q130" t="s">
        <v>180</v>
      </c>
    </row>
    <row r="131" spans="2:17" customFormat="1" ht="15" hidden="1" x14ac:dyDescent="0.25">
      <c r="B131">
        <v>10370</v>
      </c>
      <c r="C131" t="s">
        <v>176</v>
      </c>
      <c r="D131" s="1">
        <v>35402</v>
      </c>
      <c r="E131" s="1" t="str">
        <f t="shared" si="3"/>
        <v>dez</v>
      </c>
      <c r="F131" s="1" t="str">
        <f t="shared" si="4"/>
        <v>1996</v>
      </c>
      <c r="G131" s="1">
        <v>35430</v>
      </c>
      <c r="H131" s="1">
        <v>35426</v>
      </c>
      <c r="I131">
        <v>2</v>
      </c>
      <c r="J131" t="str">
        <f t="shared" si="5"/>
        <v>USPS</v>
      </c>
      <c r="K131">
        <v>1.17</v>
      </c>
      <c r="L131" t="s">
        <v>74</v>
      </c>
      <c r="M131" t="s">
        <v>663</v>
      </c>
      <c r="N131" t="s">
        <v>178</v>
      </c>
      <c r="P131" t="s">
        <v>179</v>
      </c>
      <c r="Q131" t="s">
        <v>180</v>
      </c>
    </row>
    <row r="132" spans="2:17" customFormat="1" ht="15" hidden="1" x14ac:dyDescent="0.25">
      <c r="B132">
        <v>10519</v>
      </c>
      <c r="C132" t="s">
        <v>176</v>
      </c>
      <c r="D132" s="1">
        <v>35548</v>
      </c>
      <c r="E132" s="1" t="str">
        <f t="shared" si="3"/>
        <v>abr</v>
      </c>
      <c r="F132" s="1" t="str">
        <f t="shared" si="4"/>
        <v>1997</v>
      </c>
      <c r="G132" s="1">
        <v>35576</v>
      </c>
      <c r="H132" s="1">
        <v>35551</v>
      </c>
      <c r="I132">
        <v>3</v>
      </c>
      <c r="J132" t="str">
        <f t="shared" si="5"/>
        <v>DHL</v>
      </c>
      <c r="K132">
        <v>91.76</v>
      </c>
      <c r="L132" t="s">
        <v>74</v>
      </c>
      <c r="M132" t="s">
        <v>663</v>
      </c>
      <c r="N132" t="s">
        <v>178</v>
      </c>
      <c r="P132" t="s">
        <v>179</v>
      </c>
      <c r="Q132" t="s">
        <v>180</v>
      </c>
    </row>
    <row r="133" spans="2:17" customFormat="1" ht="15" hidden="1" x14ac:dyDescent="0.25">
      <c r="B133">
        <v>10731</v>
      </c>
      <c r="C133" t="s">
        <v>176</v>
      </c>
      <c r="D133" s="1">
        <v>35740</v>
      </c>
      <c r="E133" s="1" t="str">
        <f t="shared" si="3"/>
        <v>nov</v>
      </c>
      <c r="F133" s="1" t="str">
        <f t="shared" si="4"/>
        <v>1997</v>
      </c>
      <c r="G133" s="1">
        <v>35768</v>
      </c>
      <c r="H133" s="1">
        <v>35748</v>
      </c>
      <c r="I133">
        <v>1</v>
      </c>
      <c r="J133" t="str">
        <f t="shared" si="5"/>
        <v>UPS</v>
      </c>
      <c r="K133">
        <v>96.65</v>
      </c>
      <c r="L133" t="s">
        <v>74</v>
      </c>
      <c r="M133" t="s">
        <v>663</v>
      </c>
      <c r="N133" t="s">
        <v>178</v>
      </c>
      <c r="P133" t="s">
        <v>179</v>
      </c>
      <c r="Q133" t="s">
        <v>180</v>
      </c>
    </row>
    <row r="134" spans="2:17" customFormat="1" ht="15" hidden="1" x14ac:dyDescent="0.25">
      <c r="B134">
        <v>10746</v>
      </c>
      <c r="C134" t="s">
        <v>176</v>
      </c>
      <c r="D134" s="1">
        <v>35753</v>
      </c>
      <c r="E134" s="1" t="str">
        <f t="shared" si="3"/>
        <v>nov</v>
      </c>
      <c r="F134" s="1" t="str">
        <f t="shared" si="4"/>
        <v>1997</v>
      </c>
      <c r="G134" s="1">
        <v>35781</v>
      </c>
      <c r="H134" s="1">
        <v>35755</v>
      </c>
      <c r="I134">
        <v>3</v>
      </c>
      <c r="J134" t="str">
        <f t="shared" si="5"/>
        <v>DHL</v>
      </c>
      <c r="K134">
        <v>31.43</v>
      </c>
      <c r="L134" t="s">
        <v>74</v>
      </c>
      <c r="M134" t="s">
        <v>663</v>
      </c>
      <c r="N134" t="s">
        <v>178</v>
      </c>
      <c r="P134" t="s">
        <v>179</v>
      </c>
      <c r="Q134" t="s">
        <v>180</v>
      </c>
    </row>
    <row r="135" spans="2:17" customFormat="1" ht="15" hidden="1" x14ac:dyDescent="0.25">
      <c r="B135">
        <v>10966</v>
      </c>
      <c r="C135" t="s">
        <v>176</v>
      </c>
      <c r="D135" s="1">
        <v>35874</v>
      </c>
      <c r="E135" s="1" t="str">
        <f t="shared" si="3"/>
        <v>mar</v>
      </c>
      <c r="F135" s="1" t="str">
        <f t="shared" si="4"/>
        <v>1998</v>
      </c>
      <c r="G135" s="1">
        <v>35902</v>
      </c>
      <c r="H135" s="1">
        <v>35893</v>
      </c>
      <c r="I135">
        <v>1</v>
      </c>
      <c r="J135" t="str">
        <f t="shared" si="5"/>
        <v>UPS</v>
      </c>
      <c r="K135">
        <v>27.19</v>
      </c>
      <c r="L135" t="s">
        <v>74</v>
      </c>
      <c r="M135" t="s">
        <v>663</v>
      </c>
      <c r="N135" t="s">
        <v>178</v>
      </c>
      <c r="P135" t="s">
        <v>179</v>
      </c>
      <c r="Q135" t="s">
        <v>180</v>
      </c>
    </row>
    <row r="136" spans="2:17" customFormat="1" ht="15" hidden="1" x14ac:dyDescent="0.25">
      <c r="B136">
        <v>11029</v>
      </c>
      <c r="C136" t="s">
        <v>176</v>
      </c>
      <c r="D136" s="1">
        <v>35901</v>
      </c>
      <c r="E136" s="1" t="str">
        <f t="shared" si="3"/>
        <v>abr</v>
      </c>
      <c r="F136" s="1" t="str">
        <f t="shared" si="4"/>
        <v>1998</v>
      </c>
      <c r="G136" s="1">
        <v>35929</v>
      </c>
      <c r="H136" s="1">
        <v>35912</v>
      </c>
      <c r="I136">
        <v>1</v>
      </c>
      <c r="J136" t="str">
        <f t="shared" si="5"/>
        <v>UPS</v>
      </c>
      <c r="K136">
        <v>47.84</v>
      </c>
      <c r="L136" t="s">
        <v>74</v>
      </c>
      <c r="M136" t="s">
        <v>663</v>
      </c>
      <c r="N136" t="s">
        <v>178</v>
      </c>
      <c r="P136" t="s">
        <v>179</v>
      </c>
      <c r="Q136" t="s">
        <v>180</v>
      </c>
    </row>
    <row r="137" spans="2:17" customFormat="1" ht="15" hidden="1" x14ac:dyDescent="0.25">
      <c r="B137">
        <v>11041</v>
      </c>
      <c r="C137" t="s">
        <v>176</v>
      </c>
      <c r="D137" s="1">
        <v>35907</v>
      </c>
      <c r="E137" s="1" t="str">
        <f t="shared" si="3"/>
        <v>abr</v>
      </c>
      <c r="F137" s="1" t="str">
        <f t="shared" si="4"/>
        <v>1998</v>
      </c>
      <c r="G137" s="1">
        <v>35935</v>
      </c>
      <c r="H137" s="1">
        <v>35913</v>
      </c>
      <c r="I137">
        <v>2</v>
      </c>
      <c r="J137" t="str">
        <f t="shared" si="5"/>
        <v>USPS</v>
      </c>
      <c r="K137">
        <v>48.22</v>
      </c>
      <c r="L137" t="s">
        <v>74</v>
      </c>
      <c r="M137" t="s">
        <v>663</v>
      </c>
      <c r="N137" t="s">
        <v>178</v>
      </c>
      <c r="P137" t="s">
        <v>179</v>
      </c>
      <c r="Q137" t="s">
        <v>180</v>
      </c>
    </row>
    <row r="138" spans="2:17" hidden="1" x14ac:dyDescent="0.3">
      <c r="B138" s="3">
        <v>10290</v>
      </c>
      <c r="C138" s="3" t="s">
        <v>182</v>
      </c>
      <c r="D138" s="14">
        <v>35304</v>
      </c>
      <c r="E138" s="14" t="str">
        <f t="shared" si="3"/>
        <v>ago</v>
      </c>
      <c r="F138" s="14" t="str">
        <f t="shared" si="4"/>
        <v>1996</v>
      </c>
      <c r="G138" s="14">
        <v>35332</v>
      </c>
      <c r="H138" s="14">
        <v>35311</v>
      </c>
      <c r="I138" s="3">
        <v>1</v>
      </c>
      <c r="J138" s="3" t="str">
        <f t="shared" si="5"/>
        <v>UPS</v>
      </c>
      <c r="K138" s="3">
        <v>79.7</v>
      </c>
      <c r="L138" s="3" t="s">
        <v>73</v>
      </c>
      <c r="M138" s="3" t="s">
        <v>185</v>
      </c>
      <c r="N138" s="3" t="s">
        <v>186</v>
      </c>
      <c r="O138" s="3" t="s">
        <v>187</v>
      </c>
      <c r="P138" s="3" t="s">
        <v>188</v>
      </c>
      <c r="Q138" s="3" t="s">
        <v>189</v>
      </c>
    </row>
    <row r="139" spans="2:17" hidden="1" x14ac:dyDescent="0.3">
      <c r="B139" s="3">
        <v>10466</v>
      </c>
      <c r="C139" s="3" t="s">
        <v>182</v>
      </c>
      <c r="D139" s="14">
        <v>35495</v>
      </c>
      <c r="E139" s="14" t="str">
        <f t="shared" si="3"/>
        <v>mar</v>
      </c>
      <c r="F139" s="14" t="str">
        <f t="shared" si="4"/>
        <v>1997</v>
      </c>
      <c r="G139" s="14">
        <v>35523</v>
      </c>
      <c r="H139" s="14">
        <v>35502</v>
      </c>
      <c r="I139" s="3">
        <v>1</v>
      </c>
      <c r="J139" s="3" t="str">
        <f t="shared" si="5"/>
        <v>UPS</v>
      </c>
      <c r="K139" s="3">
        <v>11.93</v>
      </c>
      <c r="L139" s="3" t="s">
        <v>73</v>
      </c>
      <c r="M139" s="3" t="s">
        <v>185</v>
      </c>
      <c r="N139" s="3" t="s">
        <v>186</v>
      </c>
      <c r="O139" s="3" t="s">
        <v>187</v>
      </c>
      <c r="P139" s="3" t="s">
        <v>188</v>
      </c>
      <c r="Q139" s="3" t="s">
        <v>189</v>
      </c>
    </row>
    <row r="140" spans="2:17" hidden="1" x14ac:dyDescent="0.3">
      <c r="B140" s="3">
        <v>10494</v>
      </c>
      <c r="C140" s="3" t="s">
        <v>182</v>
      </c>
      <c r="D140" s="14">
        <v>35522</v>
      </c>
      <c r="E140" s="14" t="str">
        <f t="shared" si="3"/>
        <v>abr</v>
      </c>
      <c r="F140" s="14" t="str">
        <f t="shared" si="4"/>
        <v>1997</v>
      </c>
      <c r="G140" s="14">
        <v>35550</v>
      </c>
      <c r="H140" s="14">
        <v>35529</v>
      </c>
      <c r="I140" s="3">
        <v>2</v>
      </c>
      <c r="J140" s="3" t="str">
        <f t="shared" si="5"/>
        <v>USPS</v>
      </c>
      <c r="K140" s="3">
        <v>65.989999999999995</v>
      </c>
      <c r="L140" s="3" t="s">
        <v>73</v>
      </c>
      <c r="M140" s="3" t="s">
        <v>185</v>
      </c>
      <c r="N140" s="3" t="s">
        <v>186</v>
      </c>
      <c r="O140" s="3" t="s">
        <v>187</v>
      </c>
      <c r="P140" s="3" t="s">
        <v>188</v>
      </c>
      <c r="Q140" s="3" t="s">
        <v>189</v>
      </c>
    </row>
    <row r="141" spans="2:17" hidden="1" x14ac:dyDescent="0.3">
      <c r="B141" s="3">
        <v>10969</v>
      </c>
      <c r="C141" s="3" t="s">
        <v>182</v>
      </c>
      <c r="D141" s="14">
        <v>35877</v>
      </c>
      <c r="E141" s="14" t="str">
        <f t="shared" si="3"/>
        <v>mar</v>
      </c>
      <c r="F141" s="14" t="str">
        <f t="shared" si="4"/>
        <v>1998</v>
      </c>
      <c r="G141" s="14">
        <v>35905</v>
      </c>
      <c r="H141" s="14">
        <v>35884</v>
      </c>
      <c r="I141" s="3">
        <v>2</v>
      </c>
      <c r="J141" s="3" t="str">
        <f t="shared" si="5"/>
        <v>USPS</v>
      </c>
      <c r="K141" s="3">
        <v>0.21</v>
      </c>
      <c r="L141" s="3" t="s">
        <v>73</v>
      </c>
      <c r="M141" s="3" t="s">
        <v>185</v>
      </c>
      <c r="N141" s="3" t="s">
        <v>186</v>
      </c>
      <c r="O141" s="3" t="s">
        <v>187</v>
      </c>
      <c r="P141" s="3" t="s">
        <v>188</v>
      </c>
      <c r="Q141" s="3" t="s">
        <v>189</v>
      </c>
    </row>
    <row r="142" spans="2:17" hidden="1" x14ac:dyDescent="0.3">
      <c r="B142" s="3">
        <v>11042</v>
      </c>
      <c r="C142" s="3" t="s">
        <v>182</v>
      </c>
      <c r="D142" s="14">
        <v>35907</v>
      </c>
      <c r="E142" s="14" t="str">
        <f t="shared" ref="E142:E205" si="6">TEXT(D142,"mmm")</f>
        <v>abr</v>
      </c>
      <c r="F142" s="14" t="str">
        <f t="shared" ref="F142:F205" si="7">TEXT(D142,"aaa")</f>
        <v>1998</v>
      </c>
      <c r="G142" s="14">
        <v>35921</v>
      </c>
      <c r="H142" s="14">
        <v>35916</v>
      </c>
      <c r="I142" s="3">
        <v>1</v>
      </c>
      <c r="J142" s="3" t="str">
        <f t="shared" ref="J142:J205" si="8">CHOOSE(I142,"UPS","USPS","DHL")</f>
        <v>UPS</v>
      </c>
      <c r="K142" s="3">
        <v>29.99</v>
      </c>
      <c r="L142" s="3" t="s">
        <v>73</v>
      </c>
      <c r="M142" s="3" t="s">
        <v>185</v>
      </c>
      <c r="N142" s="3" t="s">
        <v>186</v>
      </c>
      <c r="O142" s="3" t="s">
        <v>187</v>
      </c>
      <c r="P142" s="3" t="s">
        <v>188</v>
      </c>
      <c r="Q142" s="3" t="s">
        <v>189</v>
      </c>
    </row>
    <row r="143" spans="2:17" customFormat="1" ht="15" hidden="1" x14ac:dyDescent="0.25">
      <c r="B143">
        <v>10435</v>
      </c>
      <c r="C143" t="s">
        <v>191</v>
      </c>
      <c r="D143" s="1">
        <v>35465</v>
      </c>
      <c r="E143" s="1" t="str">
        <f t="shared" si="6"/>
        <v>fev</v>
      </c>
      <c r="F143" s="1" t="str">
        <f t="shared" si="7"/>
        <v>1997</v>
      </c>
      <c r="G143" s="1">
        <v>35507</v>
      </c>
      <c r="H143" s="1">
        <v>35468</v>
      </c>
      <c r="I143">
        <v>2</v>
      </c>
      <c r="J143" t="str">
        <f t="shared" si="8"/>
        <v>USPS</v>
      </c>
      <c r="K143">
        <v>9.2100000000000009</v>
      </c>
      <c r="L143" t="s">
        <v>72</v>
      </c>
      <c r="M143" t="s">
        <v>193</v>
      </c>
      <c r="N143" t="s">
        <v>111</v>
      </c>
      <c r="P143" t="s">
        <v>194</v>
      </c>
      <c r="Q143" t="s">
        <v>113</v>
      </c>
    </row>
    <row r="144" spans="2:17" customFormat="1" ht="15" hidden="1" x14ac:dyDescent="0.25">
      <c r="B144">
        <v>10462</v>
      </c>
      <c r="C144" t="s">
        <v>191</v>
      </c>
      <c r="D144" s="1">
        <v>35492</v>
      </c>
      <c r="E144" s="1" t="str">
        <f t="shared" si="6"/>
        <v>mar</v>
      </c>
      <c r="F144" s="1" t="str">
        <f t="shared" si="7"/>
        <v>1997</v>
      </c>
      <c r="G144" s="1">
        <v>35520</v>
      </c>
      <c r="H144" s="1">
        <v>35507</v>
      </c>
      <c r="I144">
        <v>1</v>
      </c>
      <c r="J144" t="str">
        <f t="shared" si="8"/>
        <v>UPS</v>
      </c>
      <c r="K144">
        <v>6.17</v>
      </c>
      <c r="L144" t="s">
        <v>72</v>
      </c>
      <c r="M144" t="s">
        <v>193</v>
      </c>
      <c r="N144" t="s">
        <v>111</v>
      </c>
      <c r="P144" t="s">
        <v>194</v>
      </c>
      <c r="Q144" t="s">
        <v>113</v>
      </c>
    </row>
    <row r="145" spans="2:17" customFormat="1" ht="15" hidden="1" x14ac:dyDescent="0.25">
      <c r="B145">
        <v>10848</v>
      </c>
      <c r="C145" t="s">
        <v>191</v>
      </c>
      <c r="D145" s="1">
        <v>35818</v>
      </c>
      <c r="E145" s="1" t="str">
        <f t="shared" si="6"/>
        <v>jan</v>
      </c>
      <c r="F145" s="1" t="str">
        <f t="shared" si="7"/>
        <v>1998</v>
      </c>
      <c r="G145" s="1">
        <v>35846</v>
      </c>
      <c r="H145" s="1">
        <v>35824</v>
      </c>
      <c r="I145">
        <v>2</v>
      </c>
      <c r="J145" t="str">
        <f t="shared" si="8"/>
        <v>USPS</v>
      </c>
      <c r="K145">
        <v>38.24</v>
      </c>
      <c r="L145" t="s">
        <v>72</v>
      </c>
      <c r="M145" t="s">
        <v>193</v>
      </c>
      <c r="N145" t="s">
        <v>111</v>
      </c>
      <c r="P145" t="s">
        <v>194</v>
      </c>
      <c r="Q145" t="s">
        <v>113</v>
      </c>
    </row>
    <row r="146" spans="2:17" customFormat="1" ht="15" hidden="1" x14ac:dyDescent="0.25">
      <c r="B146">
        <v>10363</v>
      </c>
      <c r="C146" t="s">
        <v>196</v>
      </c>
      <c r="D146" s="1">
        <v>35395</v>
      </c>
      <c r="E146" s="1" t="str">
        <f t="shared" si="6"/>
        <v>nov</v>
      </c>
      <c r="F146" s="1" t="str">
        <f t="shared" si="7"/>
        <v>1996</v>
      </c>
      <c r="G146" s="1">
        <v>35423</v>
      </c>
      <c r="H146" s="1">
        <v>35403</v>
      </c>
      <c r="I146">
        <v>3</v>
      </c>
      <c r="J146" t="str">
        <f t="shared" si="8"/>
        <v>DHL</v>
      </c>
      <c r="K146">
        <v>30.54</v>
      </c>
      <c r="L146" t="s">
        <v>71</v>
      </c>
      <c r="M146" t="s">
        <v>198</v>
      </c>
      <c r="N146" t="s">
        <v>199</v>
      </c>
      <c r="P146" t="s">
        <v>200</v>
      </c>
      <c r="Q146" t="s">
        <v>94</v>
      </c>
    </row>
    <row r="147" spans="2:17" customFormat="1" ht="15" hidden="1" x14ac:dyDescent="0.25">
      <c r="B147">
        <v>10391</v>
      </c>
      <c r="C147" t="s">
        <v>196</v>
      </c>
      <c r="D147" s="1">
        <v>35422</v>
      </c>
      <c r="E147" s="1" t="str">
        <f t="shared" si="6"/>
        <v>dez</v>
      </c>
      <c r="F147" s="1" t="str">
        <f t="shared" si="7"/>
        <v>1996</v>
      </c>
      <c r="G147" s="1">
        <v>35450</v>
      </c>
      <c r="H147" s="1">
        <v>35430</v>
      </c>
      <c r="I147">
        <v>3</v>
      </c>
      <c r="J147" t="str">
        <f t="shared" si="8"/>
        <v>DHL</v>
      </c>
      <c r="K147">
        <v>5.45</v>
      </c>
      <c r="L147" t="s">
        <v>71</v>
      </c>
      <c r="M147" t="s">
        <v>198</v>
      </c>
      <c r="N147" t="s">
        <v>199</v>
      </c>
      <c r="P147" t="s">
        <v>200</v>
      </c>
      <c r="Q147" t="s">
        <v>94</v>
      </c>
    </row>
    <row r="148" spans="2:17" customFormat="1" ht="15" hidden="1" x14ac:dyDescent="0.25">
      <c r="B148">
        <v>10797</v>
      </c>
      <c r="C148" t="s">
        <v>196</v>
      </c>
      <c r="D148" s="1">
        <v>35789</v>
      </c>
      <c r="E148" s="1" t="str">
        <f t="shared" si="6"/>
        <v>dez</v>
      </c>
      <c r="F148" s="1" t="str">
        <f t="shared" si="7"/>
        <v>1997</v>
      </c>
      <c r="G148" s="1">
        <v>35817</v>
      </c>
      <c r="H148" s="1">
        <v>35800</v>
      </c>
      <c r="I148">
        <v>2</v>
      </c>
      <c r="J148" t="str">
        <f t="shared" si="8"/>
        <v>USPS</v>
      </c>
      <c r="K148">
        <v>33.35</v>
      </c>
      <c r="L148" t="s">
        <v>71</v>
      </c>
      <c r="M148" t="s">
        <v>198</v>
      </c>
      <c r="N148" t="s">
        <v>199</v>
      </c>
      <c r="P148" t="s">
        <v>200</v>
      </c>
      <c r="Q148" t="s">
        <v>94</v>
      </c>
    </row>
    <row r="149" spans="2:17" customFormat="1" ht="15" hidden="1" x14ac:dyDescent="0.25">
      <c r="B149">
        <v>10825</v>
      </c>
      <c r="C149" t="s">
        <v>196</v>
      </c>
      <c r="D149" s="1">
        <v>35804</v>
      </c>
      <c r="E149" s="1" t="str">
        <f t="shared" si="6"/>
        <v>jan</v>
      </c>
      <c r="F149" s="1" t="str">
        <f t="shared" si="7"/>
        <v>1998</v>
      </c>
      <c r="G149" s="1">
        <v>35832</v>
      </c>
      <c r="H149" s="1">
        <v>35809</v>
      </c>
      <c r="I149">
        <v>1</v>
      </c>
      <c r="J149" t="str">
        <f t="shared" si="8"/>
        <v>UPS</v>
      </c>
      <c r="K149">
        <v>79.25</v>
      </c>
      <c r="L149" t="s">
        <v>71</v>
      </c>
      <c r="M149" t="s">
        <v>198</v>
      </c>
      <c r="N149" t="s">
        <v>199</v>
      </c>
      <c r="P149" t="s">
        <v>200</v>
      </c>
      <c r="Q149" t="s">
        <v>94</v>
      </c>
    </row>
    <row r="150" spans="2:17" customFormat="1" ht="15" hidden="1" x14ac:dyDescent="0.25">
      <c r="B150">
        <v>11036</v>
      </c>
      <c r="C150" t="s">
        <v>196</v>
      </c>
      <c r="D150" s="1">
        <v>35905</v>
      </c>
      <c r="E150" s="1" t="str">
        <f t="shared" si="6"/>
        <v>abr</v>
      </c>
      <c r="F150" s="1" t="str">
        <f t="shared" si="7"/>
        <v>1998</v>
      </c>
      <c r="G150" s="1">
        <v>35933</v>
      </c>
      <c r="H150" s="1">
        <v>35907</v>
      </c>
      <c r="I150">
        <v>3</v>
      </c>
      <c r="J150" t="str">
        <f t="shared" si="8"/>
        <v>DHL</v>
      </c>
      <c r="K150">
        <v>149.47</v>
      </c>
      <c r="L150" t="s">
        <v>71</v>
      </c>
      <c r="M150" t="s">
        <v>198</v>
      </c>
      <c r="N150" t="s">
        <v>199</v>
      </c>
      <c r="P150" t="s">
        <v>200</v>
      </c>
      <c r="Q150" t="s">
        <v>94</v>
      </c>
    </row>
    <row r="151" spans="2:17" customFormat="1" ht="15" hidden="1" x14ac:dyDescent="0.25">
      <c r="B151">
        <v>11067</v>
      </c>
      <c r="C151" t="s">
        <v>196</v>
      </c>
      <c r="D151" s="1">
        <v>35919</v>
      </c>
      <c r="E151" s="1" t="str">
        <f t="shared" si="6"/>
        <v>mai</v>
      </c>
      <c r="F151" s="1" t="str">
        <f t="shared" si="7"/>
        <v>1998</v>
      </c>
      <c r="G151" s="1">
        <v>35933</v>
      </c>
      <c r="H151" s="1">
        <v>35921</v>
      </c>
      <c r="I151">
        <v>2</v>
      </c>
      <c r="J151" t="str">
        <f t="shared" si="8"/>
        <v>USPS</v>
      </c>
      <c r="K151">
        <v>7.98</v>
      </c>
      <c r="L151" t="s">
        <v>71</v>
      </c>
      <c r="M151" t="s">
        <v>198</v>
      </c>
      <c r="N151" t="s">
        <v>199</v>
      </c>
      <c r="P151" t="s">
        <v>200</v>
      </c>
      <c r="Q151" t="s">
        <v>94</v>
      </c>
    </row>
    <row r="152" spans="2:17" customFormat="1" ht="15" hidden="1" x14ac:dyDescent="0.25">
      <c r="B152">
        <v>10311</v>
      </c>
      <c r="C152" t="s">
        <v>202</v>
      </c>
      <c r="D152" s="1">
        <v>35328</v>
      </c>
      <c r="E152" s="1" t="str">
        <f t="shared" si="6"/>
        <v>set</v>
      </c>
      <c r="F152" s="1" t="str">
        <f t="shared" si="7"/>
        <v>1996</v>
      </c>
      <c r="G152" s="1">
        <v>35342</v>
      </c>
      <c r="H152" s="1">
        <v>35334</v>
      </c>
      <c r="I152">
        <v>3</v>
      </c>
      <c r="J152" t="str">
        <f t="shared" si="8"/>
        <v>DHL</v>
      </c>
      <c r="K152">
        <v>24.69</v>
      </c>
      <c r="L152" t="s">
        <v>70</v>
      </c>
      <c r="M152" t="s">
        <v>204</v>
      </c>
      <c r="N152" t="s">
        <v>205</v>
      </c>
      <c r="P152" t="s">
        <v>206</v>
      </c>
      <c r="Q152" t="s">
        <v>134</v>
      </c>
    </row>
    <row r="153" spans="2:17" customFormat="1" ht="15" hidden="1" x14ac:dyDescent="0.25">
      <c r="B153">
        <v>10609</v>
      </c>
      <c r="C153" t="s">
        <v>202</v>
      </c>
      <c r="D153" s="1">
        <v>35635</v>
      </c>
      <c r="E153" s="1" t="str">
        <f t="shared" si="6"/>
        <v>jul</v>
      </c>
      <c r="F153" s="1" t="str">
        <f t="shared" si="7"/>
        <v>1997</v>
      </c>
      <c r="G153" s="1">
        <v>35663</v>
      </c>
      <c r="H153" s="1">
        <v>35641</v>
      </c>
      <c r="I153">
        <v>2</v>
      </c>
      <c r="J153" t="str">
        <f t="shared" si="8"/>
        <v>USPS</v>
      </c>
      <c r="K153">
        <v>1.85</v>
      </c>
      <c r="L153" t="s">
        <v>70</v>
      </c>
      <c r="M153" t="s">
        <v>204</v>
      </c>
      <c r="N153" t="s">
        <v>205</v>
      </c>
      <c r="P153" t="s">
        <v>206</v>
      </c>
      <c r="Q153" t="s">
        <v>134</v>
      </c>
    </row>
    <row r="154" spans="2:17" customFormat="1" ht="15" hidden="1" x14ac:dyDescent="0.25">
      <c r="B154">
        <v>10683</v>
      </c>
      <c r="C154" t="s">
        <v>202</v>
      </c>
      <c r="D154" s="1">
        <v>35699</v>
      </c>
      <c r="E154" s="1" t="str">
        <f t="shared" si="6"/>
        <v>set</v>
      </c>
      <c r="F154" s="1" t="str">
        <f t="shared" si="7"/>
        <v>1997</v>
      </c>
      <c r="G154" s="1">
        <v>35727</v>
      </c>
      <c r="H154" s="1">
        <v>35704</v>
      </c>
      <c r="I154">
        <v>1</v>
      </c>
      <c r="J154" t="str">
        <f t="shared" si="8"/>
        <v>UPS</v>
      </c>
      <c r="K154">
        <v>4.4000000000000004</v>
      </c>
      <c r="L154" t="s">
        <v>70</v>
      </c>
      <c r="M154" t="s">
        <v>204</v>
      </c>
      <c r="N154" t="s">
        <v>205</v>
      </c>
      <c r="P154" t="s">
        <v>206</v>
      </c>
      <c r="Q154" t="s">
        <v>134</v>
      </c>
    </row>
    <row r="155" spans="2:17" customFormat="1" ht="15" hidden="1" x14ac:dyDescent="0.25">
      <c r="B155">
        <v>10890</v>
      </c>
      <c r="C155" t="s">
        <v>202</v>
      </c>
      <c r="D155" s="1">
        <v>35842</v>
      </c>
      <c r="E155" s="1" t="str">
        <f t="shared" si="6"/>
        <v>fev</v>
      </c>
      <c r="F155" s="1" t="str">
        <f t="shared" si="7"/>
        <v>1998</v>
      </c>
      <c r="G155" s="1">
        <v>35870</v>
      </c>
      <c r="H155" s="1">
        <v>35844</v>
      </c>
      <c r="I155">
        <v>1</v>
      </c>
      <c r="J155" t="str">
        <f t="shared" si="8"/>
        <v>UPS</v>
      </c>
      <c r="K155">
        <v>32.76</v>
      </c>
      <c r="L155" t="s">
        <v>70</v>
      </c>
      <c r="M155" t="s">
        <v>204</v>
      </c>
      <c r="N155" t="s">
        <v>205</v>
      </c>
      <c r="P155" t="s">
        <v>206</v>
      </c>
      <c r="Q155" t="s">
        <v>134</v>
      </c>
    </row>
    <row r="156" spans="2:17" customFormat="1" ht="15" hidden="1" x14ac:dyDescent="0.25">
      <c r="B156">
        <v>10364</v>
      </c>
      <c r="C156" t="s">
        <v>208</v>
      </c>
      <c r="D156" s="1">
        <v>35395</v>
      </c>
      <c r="E156" s="1" t="str">
        <f t="shared" si="6"/>
        <v>nov</v>
      </c>
      <c r="F156" s="1" t="str">
        <f t="shared" si="7"/>
        <v>1996</v>
      </c>
      <c r="G156" s="1">
        <v>35437</v>
      </c>
      <c r="H156" s="1">
        <v>35403</v>
      </c>
      <c r="I156">
        <v>1</v>
      </c>
      <c r="J156" t="str">
        <f t="shared" si="8"/>
        <v>UPS</v>
      </c>
      <c r="K156">
        <v>71.97</v>
      </c>
      <c r="L156" t="s">
        <v>69</v>
      </c>
      <c r="M156" t="s">
        <v>209</v>
      </c>
      <c r="N156" t="s">
        <v>111</v>
      </c>
      <c r="P156" t="s">
        <v>210</v>
      </c>
      <c r="Q156" t="s">
        <v>113</v>
      </c>
    </row>
    <row r="157" spans="2:17" customFormat="1" ht="15" hidden="1" x14ac:dyDescent="0.25">
      <c r="B157">
        <v>10400</v>
      </c>
      <c r="C157" t="s">
        <v>208</v>
      </c>
      <c r="D157" s="1">
        <v>35431</v>
      </c>
      <c r="E157" s="1" t="str">
        <f t="shared" si="6"/>
        <v>jan</v>
      </c>
      <c r="F157" s="1" t="str">
        <f t="shared" si="7"/>
        <v>1997</v>
      </c>
      <c r="G157" s="1">
        <v>35459</v>
      </c>
      <c r="H157" s="1">
        <v>35446</v>
      </c>
      <c r="I157">
        <v>3</v>
      </c>
      <c r="J157" t="str">
        <f t="shared" si="8"/>
        <v>DHL</v>
      </c>
      <c r="K157">
        <v>83.93</v>
      </c>
      <c r="L157" t="s">
        <v>69</v>
      </c>
      <c r="M157" t="s">
        <v>209</v>
      </c>
      <c r="N157" t="s">
        <v>111</v>
      </c>
      <c r="P157" t="s">
        <v>210</v>
      </c>
      <c r="Q157" t="s">
        <v>113</v>
      </c>
    </row>
    <row r="158" spans="2:17" customFormat="1" ht="15" hidden="1" x14ac:dyDescent="0.25">
      <c r="B158">
        <v>10532</v>
      </c>
      <c r="C158" t="s">
        <v>208</v>
      </c>
      <c r="D158" s="1">
        <v>35559</v>
      </c>
      <c r="E158" s="1" t="str">
        <f t="shared" si="6"/>
        <v>mai</v>
      </c>
      <c r="F158" s="1" t="str">
        <f t="shared" si="7"/>
        <v>1997</v>
      </c>
      <c r="G158" s="1">
        <v>35587</v>
      </c>
      <c r="H158" s="1">
        <v>35562</v>
      </c>
      <c r="I158">
        <v>3</v>
      </c>
      <c r="J158" t="str">
        <f t="shared" si="8"/>
        <v>DHL</v>
      </c>
      <c r="K158">
        <v>74.459999999999994</v>
      </c>
      <c r="L158" t="s">
        <v>69</v>
      </c>
      <c r="M158" t="s">
        <v>209</v>
      </c>
      <c r="N158" t="s">
        <v>111</v>
      </c>
      <c r="P158" t="s">
        <v>210</v>
      </c>
      <c r="Q158" t="s">
        <v>113</v>
      </c>
    </row>
    <row r="159" spans="2:17" customFormat="1" ht="15" hidden="1" x14ac:dyDescent="0.25">
      <c r="B159">
        <v>10726</v>
      </c>
      <c r="C159" t="s">
        <v>208</v>
      </c>
      <c r="D159" s="1">
        <v>35737</v>
      </c>
      <c r="E159" s="1" t="str">
        <f t="shared" si="6"/>
        <v>nov</v>
      </c>
      <c r="F159" s="1" t="str">
        <f t="shared" si="7"/>
        <v>1997</v>
      </c>
      <c r="G159" s="1">
        <v>35751</v>
      </c>
      <c r="H159" s="1">
        <v>35769</v>
      </c>
      <c r="I159">
        <v>1</v>
      </c>
      <c r="J159" t="str">
        <f t="shared" si="8"/>
        <v>UPS</v>
      </c>
      <c r="K159">
        <v>16.559999999999999</v>
      </c>
      <c r="L159" t="s">
        <v>69</v>
      </c>
      <c r="M159" t="s">
        <v>209</v>
      </c>
      <c r="N159" t="s">
        <v>111</v>
      </c>
      <c r="P159" t="s">
        <v>210</v>
      </c>
      <c r="Q159" t="s">
        <v>113</v>
      </c>
    </row>
    <row r="160" spans="2:17" customFormat="1" ht="15" hidden="1" x14ac:dyDescent="0.25">
      <c r="B160">
        <v>10987</v>
      </c>
      <c r="C160" t="s">
        <v>208</v>
      </c>
      <c r="D160" s="1">
        <v>35885</v>
      </c>
      <c r="E160" s="1" t="str">
        <f t="shared" si="6"/>
        <v>mar</v>
      </c>
      <c r="F160" s="1" t="str">
        <f t="shared" si="7"/>
        <v>1998</v>
      </c>
      <c r="G160" s="1">
        <v>35913</v>
      </c>
      <c r="H160" s="1">
        <v>35891</v>
      </c>
      <c r="I160">
        <v>1</v>
      </c>
      <c r="J160" t="str">
        <f t="shared" si="8"/>
        <v>UPS</v>
      </c>
      <c r="K160">
        <v>185.48</v>
      </c>
      <c r="L160" t="s">
        <v>69</v>
      </c>
      <c r="M160" t="s">
        <v>209</v>
      </c>
      <c r="N160" t="s">
        <v>111</v>
      </c>
      <c r="P160" t="s">
        <v>210</v>
      </c>
      <c r="Q160" t="s">
        <v>113</v>
      </c>
    </row>
    <row r="161" spans="2:17" customFormat="1" ht="15" hidden="1" x14ac:dyDescent="0.25">
      <c r="B161">
        <v>11024</v>
      </c>
      <c r="C161" t="s">
        <v>208</v>
      </c>
      <c r="D161" s="1">
        <v>35900</v>
      </c>
      <c r="E161" s="1" t="str">
        <f t="shared" si="6"/>
        <v>abr</v>
      </c>
      <c r="F161" s="1" t="str">
        <f t="shared" si="7"/>
        <v>1998</v>
      </c>
      <c r="G161" s="1">
        <v>35928</v>
      </c>
      <c r="H161" s="1">
        <v>35905</v>
      </c>
      <c r="I161">
        <v>1</v>
      </c>
      <c r="J161" t="str">
        <f t="shared" si="8"/>
        <v>UPS</v>
      </c>
      <c r="K161">
        <v>74.36</v>
      </c>
      <c r="L161" t="s">
        <v>69</v>
      </c>
      <c r="M161" t="s">
        <v>209</v>
      </c>
      <c r="N161" t="s">
        <v>111</v>
      </c>
      <c r="P161" t="s">
        <v>210</v>
      </c>
      <c r="Q161" t="s">
        <v>113</v>
      </c>
    </row>
    <row r="162" spans="2:17" customFormat="1" ht="15" hidden="1" x14ac:dyDescent="0.25">
      <c r="B162">
        <v>11047</v>
      </c>
      <c r="C162" t="s">
        <v>208</v>
      </c>
      <c r="D162" s="1">
        <v>35909</v>
      </c>
      <c r="E162" s="1" t="str">
        <f t="shared" si="6"/>
        <v>abr</v>
      </c>
      <c r="F162" s="1" t="str">
        <f t="shared" si="7"/>
        <v>1998</v>
      </c>
      <c r="G162" s="1">
        <v>35937</v>
      </c>
      <c r="H162" s="1">
        <v>35916</v>
      </c>
      <c r="I162">
        <v>3</v>
      </c>
      <c r="J162" t="str">
        <f t="shared" si="8"/>
        <v>DHL</v>
      </c>
      <c r="K162">
        <v>46.62</v>
      </c>
      <c r="L162" t="s">
        <v>69</v>
      </c>
      <c r="M162" t="s">
        <v>209</v>
      </c>
      <c r="N162" t="s">
        <v>111</v>
      </c>
      <c r="P162" t="s">
        <v>210</v>
      </c>
      <c r="Q162" t="s">
        <v>113</v>
      </c>
    </row>
    <row r="163" spans="2:17" customFormat="1" ht="15" hidden="1" x14ac:dyDescent="0.25">
      <c r="B163">
        <v>11056</v>
      </c>
      <c r="C163" t="s">
        <v>208</v>
      </c>
      <c r="D163" s="1">
        <v>35913</v>
      </c>
      <c r="E163" s="1" t="str">
        <f t="shared" si="6"/>
        <v>abr</v>
      </c>
      <c r="F163" s="1" t="str">
        <f t="shared" si="7"/>
        <v>1998</v>
      </c>
      <c r="G163" s="1">
        <v>35927</v>
      </c>
      <c r="H163" s="1">
        <v>35916</v>
      </c>
      <c r="I163">
        <v>2</v>
      </c>
      <c r="J163" t="str">
        <f t="shared" si="8"/>
        <v>USPS</v>
      </c>
      <c r="K163">
        <v>278.95999999999998</v>
      </c>
      <c r="L163" t="s">
        <v>69</v>
      </c>
      <c r="M163" t="s">
        <v>209</v>
      </c>
      <c r="N163" t="s">
        <v>111</v>
      </c>
      <c r="P163" t="s">
        <v>210</v>
      </c>
      <c r="Q163" t="s">
        <v>113</v>
      </c>
    </row>
    <row r="164" spans="2:17" customFormat="1" ht="15" hidden="1" x14ac:dyDescent="0.25">
      <c r="B164">
        <v>10258</v>
      </c>
      <c r="C164" t="s">
        <v>212</v>
      </c>
      <c r="D164" s="1">
        <v>35263</v>
      </c>
      <c r="E164" s="1" t="str">
        <f t="shared" si="6"/>
        <v>jul</v>
      </c>
      <c r="F164" s="1" t="str">
        <f t="shared" si="7"/>
        <v>1996</v>
      </c>
      <c r="G164" s="1">
        <v>35291</v>
      </c>
      <c r="H164" s="1">
        <v>35269</v>
      </c>
      <c r="I164">
        <v>1</v>
      </c>
      <c r="J164" t="str">
        <f t="shared" si="8"/>
        <v>UPS</v>
      </c>
      <c r="K164">
        <v>140.51</v>
      </c>
      <c r="L164" t="s">
        <v>68</v>
      </c>
      <c r="M164" t="s">
        <v>215</v>
      </c>
      <c r="N164" t="s">
        <v>216</v>
      </c>
      <c r="P164" t="s">
        <v>217</v>
      </c>
      <c r="Q164" t="s">
        <v>218</v>
      </c>
    </row>
    <row r="165" spans="2:17" customFormat="1" ht="15" hidden="1" x14ac:dyDescent="0.25">
      <c r="B165">
        <v>10263</v>
      </c>
      <c r="C165" t="s">
        <v>212</v>
      </c>
      <c r="D165" s="1">
        <v>35269</v>
      </c>
      <c r="E165" s="1" t="str">
        <f t="shared" si="6"/>
        <v>jul</v>
      </c>
      <c r="F165" s="1" t="str">
        <f t="shared" si="7"/>
        <v>1996</v>
      </c>
      <c r="G165" s="1">
        <v>35297</v>
      </c>
      <c r="H165" s="1">
        <v>35277</v>
      </c>
      <c r="I165">
        <v>3</v>
      </c>
      <c r="J165" t="str">
        <f t="shared" si="8"/>
        <v>DHL</v>
      </c>
      <c r="K165">
        <v>146.06</v>
      </c>
      <c r="L165" t="s">
        <v>68</v>
      </c>
      <c r="M165" t="s">
        <v>215</v>
      </c>
      <c r="N165" t="s">
        <v>216</v>
      </c>
      <c r="P165" t="s">
        <v>217</v>
      </c>
      <c r="Q165" t="s">
        <v>218</v>
      </c>
    </row>
    <row r="166" spans="2:17" customFormat="1" ht="15" hidden="1" x14ac:dyDescent="0.25">
      <c r="B166">
        <v>10351</v>
      </c>
      <c r="C166" t="s">
        <v>212</v>
      </c>
      <c r="D166" s="1">
        <v>35380</v>
      </c>
      <c r="E166" s="1" t="str">
        <f t="shared" si="6"/>
        <v>nov</v>
      </c>
      <c r="F166" s="1" t="str">
        <f t="shared" si="7"/>
        <v>1996</v>
      </c>
      <c r="G166" s="1">
        <v>35408</v>
      </c>
      <c r="H166" s="1">
        <v>35389</v>
      </c>
      <c r="I166">
        <v>1</v>
      </c>
      <c r="J166" t="str">
        <f t="shared" si="8"/>
        <v>UPS</v>
      </c>
      <c r="K166">
        <v>162.33000000000001</v>
      </c>
      <c r="L166" t="s">
        <v>68</v>
      </c>
      <c r="M166" t="s">
        <v>215</v>
      </c>
      <c r="N166" t="s">
        <v>216</v>
      </c>
      <c r="P166" t="s">
        <v>217</v>
      </c>
      <c r="Q166" t="s">
        <v>218</v>
      </c>
    </row>
    <row r="167" spans="2:17" customFormat="1" ht="15" hidden="1" x14ac:dyDescent="0.25">
      <c r="B167">
        <v>10368</v>
      </c>
      <c r="C167" t="s">
        <v>212</v>
      </c>
      <c r="D167" s="1">
        <v>35398</v>
      </c>
      <c r="E167" s="1" t="str">
        <f t="shared" si="6"/>
        <v>nov</v>
      </c>
      <c r="F167" s="1" t="str">
        <f t="shared" si="7"/>
        <v>1996</v>
      </c>
      <c r="G167" s="1">
        <v>35426</v>
      </c>
      <c r="H167" s="1">
        <v>35401</v>
      </c>
      <c r="I167">
        <v>2</v>
      </c>
      <c r="J167" t="str">
        <f t="shared" si="8"/>
        <v>USPS</v>
      </c>
      <c r="K167">
        <v>101.95</v>
      </c>
      <c r="L167" t="s">
        <v>68</v>
      </c>
      <c r="M167" t="s">
        <v>215</v>
      </c>
      <c r="N167" t="s">
        <v>216</v>
      </c>
      <c r="P167" t="s">
        <v>217</v>
      </c>
      <c r="Q167" t="s">
        <v>218</v>
      </c>
    </row>
    <row r="168" spans="2:17" customFormat="1" ht="15" hidden="1" x14ac:dyDescent="0.25">
      <c r="B168">
        <v>10382</v>
      </c>
      <c r="C168" t="s">
        <v>212</v>
      </c>
      <c r="D168" s="1">
        <v>35412</v>
      </c>
      <c r="E168" s="1" t="str">
        <f t="shared" si="6"/>
        <v>dez</v>
      </c>
      <c r="F168" s="1" t="str">
        <f t="shared" si="7"/>
        <v>1996</v>
      </c>
      <c r="G168" s="1">
        <v>35440</v>
      </c>
      <c r="H168" s="1">
        <v>35415</v>
      </c>
      <c r="I168">
        <v>1</v>
      </c>
      <c r="J168" t="str">
        <f t="shared" si="8"/>
        <v>UPS</v>
      </c>
      <c r="K168">
        <v>94.77</v>
      </c>
      <c r="L168" t="s">
        <v>68</v>
      </c>
      <c r="M168" t="s">
        <v>215</v>
      </c>
      <c r="N168" t="s">
        <v>216</v>
      </c>
      <c r="P168" t="s">
        <v>217</v>
      </c>
      <c r="Q168" t="s">
        <v>218</v>
      </c>
    </row>
    <row r="169" spans="2:17" customFormat="1" ht="15" hidden="1" x14ac:dyDescent="0.25">
      <c r="B169">
        <v>10390</v>
      </c>
      <c r="C169" t="s">
        <v>212</v>
      </c>
      <c r="D169" s="1">
        <v>35422</v>
      </c>
      <c r="E169" s="1" t="str">
        <f t="shared" si="6"/>
        <v>dez</v>
      </c>
      <c r="F169" s="1" t="str">
        <f t="shared" si="7"/>
        <v>1996</v>
      </c>
      <c r="G169" s="1">
        <v>35450</v>
      </c>
      <c r="H169" s="1">
        <v>35425</v>
      </c>
      <c r="I169">
        <v>1</v>
      </c>
      <c r="J169" t="str">
        <f t="shared" si="8"/>
        <v>UPS</v>
      </c>
      <c r="K169">
        <v>126.38</v>
      </c>
      <c r="L169" t="s">
        <v>68</v>
      </c>
      <c r="M169" t="s">
        <v>215</v>
      </c>
      <c r="N169" t="s">
        <v>216</v>
      </c>
      <c r="P169" t="s">
        <v>217</v>
      </c>
      <c r="Q169" t="s">
        <v>218</v>
      </c>
    </row>
    <row r="170" spans="2:17" customFormat="1" ht="15" hidden="1" x14ac:dyDescent="0.25">
      <c r="B170">
        <v>10402</v>
      </c>
      <c r="C170" t="s">
        <v>212</v>
      </c>
      <c r="D170" s="1">
        <v>35432</v>
      </c>
      <c r="E170" s="1" t="str">
        <f t="shared" si="6"/>
        <v>jan</v>
      </c>
      <c r="F170" s="1" t="str">
        <f t="shared" si="7"/>
        <v>1997</v>
      </c>
      <c r="G170" s="1">
        <v>35474</v>
      </c>
      <c r="H170" s="1">
        <v>35440</v>
      </c>
      <c r="I170">
        <v>2</v>
      </c>
      <c r="J170" t="str">
        <f t="shared" si="8"/>
        <v>USPS</v>
      </c>
      <c r="K170">
        <v>67.88</v>
      </c>
      <c r="L170" t="s">
        <v>68</v>
      </c>
      <c r="M170" t="s">
        <v>215</v>
      </c>
      <c r="N170" t="s">
        <v>216</v>
      </c>
      <c r="P170" t="s">
        <v>217</v>
      </c>
      <c r="Q170" t="s">
        <v>218</v>
      </c>
    </row>
    <row r="171" spans="2:17" customFormat="1" ht="15" hidden="1" x14ac:dyDescent="0.25">
      <c r="B171">
        <v>10403</v>
      </c>
      <c r="C171" t="s">
        <v>212</v>
      </c>
      <c r="D171" s="1">
        <v>35433</v>
      </c>
      <c r="E171" s="1" t="str">
        <f t="shared" si="6"/>
        <v>jan</v>
      </c>
      <c r="F171" s="1" t="str">
        <f t="shared" si="7"/>
        <v>1997</v>
      </c>
      <c r="G171" s="1">
        <v>35461</v>
      </c>
      <c r="H171" s="1">
        <v>35439</v>
      </c>
      <c r="I171">
        <v>3</v>
      </c>
      <c r="J171" t="str">
        <f t="shared" si="8"/>
        <v>DHL</v>
      </c>
      <c r="K171">
        <v>73.790000000000006</v>
      </c>
      <c r="L171" t="s">
        <v>68</v>
      </c>
      <c r="M171" t="s">
        <v>215</v>
      </c>
      <c r="N171" t="s">
        <v>216</v>
      </c>
      <c r="P171" t="s">
        <v>217</v>
      </c>
      <c r="Q171" t="s">
        <v>218</v>
      </c>
    </row>
    <row r="172" spans="2:17" customFormat="1" ht="15" hidden="1" x14ac:dyDescent="0.25">
      <c r="B172">
        <v>10430</v>
      </c>
      <c r="C172" t="s">
        <v>212</v>
      </c>
      <c r="D172" s="1">
        <v>35460</v>
      </c>
      <c r="E172" s="1" t="str">
        <f t="shared" si="6"/>
        <v>jan</v>
      </c>
      <c r="F172" s="1" t="str">
        <f t="shared" si="7"/>
        <v>1997</v>
      </c>
      <c r="G172" s="1">
        <v>35474</v>
      </c>
      <c r="H172" s="1">
        <v>35464</v>
      </c>
      <c r="I172">
        <v>1</v>
      </c>
      <c r="J172" t="str">
        <f t="shared" si="8"/>
        <v>UPS</v>
      </c>
      <c r="K172">
        <v>458.78</v>
      </c>
      <c r="L172" t="s">
        <v>68</v>
      </c>
      <c r="M172" t="s">
        <v>215</v>
      </c>
      <c r="N172" t="s">
        <v>216</v>
      </c>
      <c r="P172" t="s">
        <v>217</v>
      </c>
      <c r="Q172" t="s">
        <v>218</v>
      </c>
    </row>
    <row r="173" spans="2:17" customFormat="1" ht="15" hidden="1" x14ac:dyDescent="0.25">
      <c r="B173">
        <v>10442</v>
      </c>
      <c r="C173" t="s">
        <v>212</v>
      </c>
      <c r="D173" s="1">
        <v>35472</v>
      </c>
      <c r="E173" s="1" t="str">
        <f t="shared" si="6"/>
        <v>fev</v>
      </c>
      <c r="F173" s="1" t="str">
        <f t="shared" si="7"/>
        <v>1997</v>
      </c>
      <c r="G173" s="1">
        <v>35500</v>
      </c>
      <c r="H173" s="1">
        <v>35479</v>
      </c>
      <c r="I173">
        <v>2</v>
      </c>
      <c r="J173" t="str">
        <f t="shared" si="8"/>
        <v>USPS</v>
      </c>
      <c r="K173">
        <v>47.94</v>
      </c>
      <c r="L173" t="s">
        <v>68</v>
      </c>
      <c r="M173" t="s">
        <v>215</v>
      </c>
      <c r="N173" t="s">
        <v>216</v>
      </c>
      <c r="P173" t="s">
        <v>217</v>
      </c>
      <c r="Q173" t="s">
        <v>218</v>
      </c>
    </row>
    <row r="174" spans="2:17" customFormat="1" ht="15" hidden="1" x14ac:dyDescent="0.25">
      <c r="B174">
        <v>10514</v>
      </c>
      <c r="C174" t="s">
        <v>212</v>
      </c>
      <c r="D174" s="1">
        <v>35542</v>
      </c>
      <c r="E174" s="1" t="str">
        <f t="shared" si="6"/>
        <v>abr</v>
      </c>
      <c r="F174" s="1" t="str">
        <f t="shared" si="7"/>
        <v>1997</v>
      </c>
      <c r="G174" s="1">
        <v>35570</v>
      </c>
      <c r="H174" s="1">
        <v>35566</v>
      </c>
      <c r="I174">
        <v>2</v>
      </c>
      <c r="J174" t="str">
        <f t="shared" si="8"/>
        <v>USPS</v>
      </c>
      <c r="K174">
        <v>789.95</v>
      </c>
      <c r="L174" t="s">
        <v>68</v>
      </c>
      <c r="M174" t="s">
        <v>215</v>
      </c>
      <c r="N174" t="s">
        <v>216</v>
      </c>
      <c r="P174" t="s">
        <v>217</v>
      </c>
      <c r="Q174" t="s">
        <v>218</v>
      </c>
    </row>
    <row r="175" spans="2:17" customFormat="1" ht="15" hidden="1" x14ac:dyDescent="0.25">
      <c r="B175">
        <v>10571</v>
      </c>
      <c r="C175" t="s">
        <v>212</v>
      </c>
      <c r="D175" s="1">
        <v>35598</v>
      </c>
      <c r="E175" s="1" t="str">
        <f t="shared" si="6"/>
        <v>jun</v>
      </c>
      <c r="F175" s="1" t="str">
        <f t="shared" si="7"/>
        <v>1997</v>
      </c>
      <c r="G175" s="1">
        <v>35640</v>
      </c>
      <c r="H175" s="1">
        <v>35615</v>
      </c>
      <c r="I175">
        <v>3</v>
      </c>
      <c r="J175" t="str">
        <f t="shared" si="8"/>
        <v>DHL</v>
      </c>
      <c r="K175">
        <v>26.06</v>
      </c>
      <c r="L175" t="s">
        <v>68</v>
      </c>
      <c r="M175" t="s">
        <v>215</v>
      </c>
      <c r="N175" t="s">
        <v>216</v>
      </c>
      <c r="P175" t="s">
        <v>217</v>
      </c>
      <c r="Q175" t="s">
        <v>218</v>
      </c>
    </row>
    <row r="176" spans="2:17" customFormat="1" ht="15" hidden="1" x14ac:dyDescent="0.25">
      <c r="B176">
        <v>10595</v>
      </c>
      <c r="C176" t="s">
        <v>212</v>
      </c>
      <c r="D176" s="1">
        <v>35621</v>
      </c>
      <c r="E176" s="1" t="str">
        <f t="shared" si="6"/>
        <v>jul</v>
      </c>
      <c r="F176" s="1" t="str">
        <f t="shared" si="7"/>
        <v>1997</v>
      </c>
      <c r="G176" s="1">
        <v>35649</v>
      </c>
      <c r="H176" s="1">
        <v>35625</v>
      </c>
      <c r="I176">
        <v>1</v>
      </c>
      <c r="J176" t="str">
        <f t="shared" si="8"/>
        <v>UPS</v>
      </c>
      <c r="K176">
        <v>96.78</v>
      </c>
      <c r="L176" t="s">
        <v>68</v>
      </c>
      <c r="M176" t="s">
        <v>215</v>
      </c>
      <c r="N176" t="s">
        <v>216</v>
      </c>
      <c r="P176" t="s">
        <v>217</v>
      </c>
      <c r="Q176" t="s">
        <v>218</v>
      </c>
    </row>
    <row r="177" spans="2:17" customFormat="1" ht="15" hidden="1" x14ac:dyDescent="0.25">
      <c r="B177">
        <v>10633</v>
      </c>
      <c r="C177" t="s">
        <v>212</v>
      </c>
      <c r="D177" s="1">
        <v>35657</v>
      </c>
      <c r="E177" s="1" t="str">
        <f t="shared" si="6"/>
        <v>ago</v>
      </c>
      <c r="F177" s="1" t="str">
        <f t="shared" si="7"/>
        <v>1997</v>
      </c>
      <c r="G177" s="1">
        <v>35685</v>
      </c>
      <c r="H177" s="1">
        <v>35660</v>
      </c>
      <c r="I177">
        <v>3</v>
      </c>
      <c r="J177" t="str">
        <f t="shared" si="8"/>
        <v>DHL</v>
      </c>
      <c r="K177">
        <v>477.9</v>
      </c>
      <c r="L177" t="s">
        <v>68</v>
      </c>
      <c r="M177" t="s">
        <v>215</v>
      </c>
      <c r="N177" t="s">
        <v>216</v>
      </c>
      <c r="P177" t="s">
        <v>217</v>
      </c>
      <c r="Q177" t="s">
        <v>218</v>
      </c>
    </row>
    <row r="178" spans="2:17" customFormat="1" ht="15" hidden="1" x14ac:dyDescent="0.25">
      <c r="B178">
        <v>10667</v>
      </c>
      <c r="C178" t="s">
        <v>212</v>
      </c>
      <c r="D178" s="1">
        <v>35685</v>
      </c>
      <c r="E178" s="1" t="str">
        <f t="shared" si="6"/>
        <v>set</v>
      </c>
      <c r="F178" s="1" t="str">
        <f t="shared" si="7"/>
        <v>1997</v>
      </c>
      <c r="G178" s="1">
        <v>35713</v>
      </c>
      <c r="H178" s="1">
        <v>35692</v>
      </c>
      <c r="I178">
        <v>1</v>
      </c>
      <c r="J178" t="str">
        <f t="shared" si="8"/>
        <v>UPS</v>
      </c>
      <c r="K178">
        <v>78.09</v>
      </c>
      <c r="L178" t="s">
        <v>68</v>
      </c>
      <c r="M178" t="s">
        <v>215</v>
      </c>
      <c r="N178" t="s">
        <v>216</v>
      </c>
      <c r="P178" t="s">
        <v>217</v>
      </c>
      <c r="Q178" t="s">
        <v>218</v>
      </c>
    </row>
    <row r="179" spans="2:17" customFormat="1" ht="15" hidden="1" x14ac:dyDescent="0.25">
      <c r="B179">
        <v>10698</v>
      </c>
      <c r="C179" t="s">
        <v>212</v>
      </c>
      <c r="D179" s="1">
        <v>35712</v>
      </c>
      <c r="E179" s="1" t="str">
        <f t="shared" si="6"/>
        <v>out</v>
      </c>
      <c r="F179" s="1" t="str">
        <f t="shared" si="7"/>
        <v>1997</v>
      </c>
      <c r="G179" s="1">
        <v>35740</v>
      </c>
      <c r="H179" s="1">
        <v>35720</v>
      </c>
      <c r="I179">
        <v>1</v>
      </c>
      <c r="J179" t="str">
        <f t="shared" si="8"/>
        <v>UPS</v>
      </c>
      <c r="K179">
        <v>272.47000000000003</v>
      </c>
      <c r="L179" t="s">
        <v>68</v>
      </c>
      <c r="M179" t="s">
        <v>215</v>
      </c>
      <c r="N179" t="s">
        <v>216</v>
      </c>
      <c r="P179" t="s">
        <v>217</v>
      </c>
      <c r="Q179" t="s">
        <v>218</v>
      </c>
    </row>
    <row r="180" spans="2:17" customFormat="1" ht="15" hidden="1" x14ac:dyDescent="0.25">
      <c r="B180">
        <v>10764</v>
      </c>
      <c r="C180" t="s">
        <v>212</v>
      </c>
      <c r="D180" s="1">
        <v>35767</v>
      </c>
      <c r="E180" s="1" t="str">
        <f t="shared" si="6"/>
        <v>dez</v>
      </c>
      <c r="F180" s="1" t="str">
        <f t="shared" si="7"/>
        <v>1997</v>
      </c>
      <c r="G180" s="1">
        <v>35795</v>
      </c>
      <c r="H180" s="1">
        <v>35772</v>
      </c>
      <c r="I180">
        <v>3</v>
      </c>
      <c r="J180" t="str">
        <f t="shared" si="8"/>
        <v>DHL</v>
      </c>
      <c r="K180">
        <v>145.44999999999999</v>
      </c>
      <c r="L180" t="s">
        <v>68</v>
      </c>
      <c r="M180" t="s">
        <v>215</v>
      </c>
      <c r="N180" t="s">
        <v>216</v>
      </c>
      <c r="P180" t="s">
        <v>217</v>
      </c>
      <c r="Q180" t="s">
        <v>218</v>
      </c>
    </row>
    <row r="181" spans="2:17" customFormat="1" ht="15" hidden="1" x14ac:dyDescent="0.25">
      <c r="B181">
        <v>10771</v>
      </c>
      <c r="C181" t="s">
        <v>212</v>
      </c>
      <c r="D181" s="1">
        <v>35774</v>
      </c>
      <c r="E181" s="1" t="str">
        <f t="shared" si="6"/>
        <v>dez</v>
      </c>
      <c r="F181" s="1" t="str">
        <f t="shared" si="7"/>
        <v>1997</v>
      </c>
      <c r="G181" s="1">
        <v>35802</v>
      </c>
      <c r="H181" s="1">
        <v>35797</v>
      </c>
      <c r="I181">
        <v>2</v>
      </c>
      <c r="J181" t="str">
        <f t="shared" si="8"/>
        <v>USPS</v>
      </c>
      <c r="K181">
        <v>11.19</v>
      </c>
      <c r="L181" t="s">
        <v>68</v>
      </c>
      <c r="M181" t="s">
        <v>215</v>
      </c>
      <c r="N181" t="s">
        <v>216</v>
      </c>
      <c r="P181" t="s">
        <v>217</v>
      </c>
      <c r="Q181" t="s">
        <v>218</v>
      </c>
    </row>
    <row r="182" spans="2:17" customFormat="1" ht="15" hidden="1" x14ac:dyDescent="0.25">
      <c r="B182">
        <v>10773</v>
      </c>
      <c r="C182" t="s">
        <v>212</v>
      </c>
      <c r="D182" s="1">
        <v>35775</v>
      </c>
      <c r="E182" s="1" t="str">
        <f t="shared" si="6"/>
        <v>dez</v>
      </c>
      <c r="F182" s="1" t="str">
        <f t="shared" si="7"/>
        <v>1997</v>
      </c>
      <c r="G182" s="1">
        <v>35803</v>
      </c>
      <c r="H182" s="1">
        <v>35780</v>
      </c>
      <c r="I182">
        <v>3</v>
      </c>
      <c r="J182" t="str">
        <f t="shared" si="8"/>
        <v>DHL</v>
      </c>
      <c r="K182">
        <v>96.43</v>
      </c>
      <c r="L182" t="s">
        <v>68</v>
      </c>
      <c r="M182" t="s">
        <v>215</v>
      </c>
      <c r="N182" t="s">
        <v>216</v>
      </c>
      <c r="P182" t="s">
        <v>217</v>
      </c>
      <c r="Q182" t="s">
        <v>218</v>
      </c>
    </row>
    <row r="183" spans="2:17" customFormat="1" ht="15" hidden="1" x14ac:dyDescent="0.25">
      <c r="B183">
        <v>10776</v>
      </c>
      <c r="C183" t="s">
        <v>212</v>
      </c>
      <c r="D183" s="1">
        <v>35779</v>
      </c>
      <c r="E183" s="1" t="str">
        <f t="shared" si="6"/>
        <v>dez</v>
      </c>
      <c r="F183" s="1" t="str">
        <f t="shared" si="7"/>
        <v>1997</v>
      </c>
      <c r="G183" s="1">
        <v>35807</v>
      </c>
      <c r="H183" s="1">
        <v>35782</v>
      </c>
      <c r="I183">
        <v>3</v>
      </c>
      <c r="J183" t="str">
        <f t="shared" si="8"/>
        <v>DHL</v>
      </c>
      <c r="K183">
        <v>351.53</v>
      </c>
      <c r="L183" t="s">
        <v>68</v>
      </c>
      <c r="M183" t="s">
        <v>215</v>
      </c>
      <c r="N183" t="s">
        <v>216</v>
      </c>
      <c r="P183" t="s">
        <v>217</v>
      </c>
      <c r="Q183" t="s">
        <v>218</v>
      </c>
    </row>
    <row r="184" spans="2:17" customFormat="1" ht="15" hidden="1" x14ac:dyDescent="0.25">
      <c r="B184">
        <v>10795</v>
      </c>
      <c r="C184" t="s">
        <v>212</v>
      </c>
      <c r="D184" s="1">
        <v>35788</v>
      </c>
      <c r="E184" s="1" t="str">
        <f t="shared" si="6"/>
        <v>dez</v>
      </c>
      <c r="F184" s="1" t="str">
        <f t="shared" si="7"/>
        <v>1997</v>
      </c>
      <c r="G184" s="1">
        <v>35816</v>
      </c>
      <c r="H184" s="1">
        <v>35815</v>
      </c>
      <c r="I184">
        <v>2</v>
      </c>
      <c r="J184" t="str">
        <f t="shared" si="8"/>
        <v>USPS</v>
      </c>
      <c r="K184">
        <v>126.66</v>
      </c>
      <c r="L184" t="s">
        <v>68</v>
      </c>
      <c r="M184" t="s">
        <v>215</v>
      </c>
      <c r="N184" t="s">
        <v>216</v>
      </c>
      <c r="P184" t="s">
        <v>217</v>
      </c>
      <c r="Q184" t="s">
        <v>218</v>
      </c>
    </row>
    <row r="185" spans="2:17" customFormat="1" ht="15" hidden="1" x14ac:dyDescent="0.25">
      <c r="B185">
        <v>10836</v>
      </c>
      <c r="C185" t="s">
        <v>212</v>
      </c>
      <c r="D185" s="1">
        <v>35811</v>
      </c>
      <c r="E185" s="1" t="str">
        <f t="shared" si="6"/>
        <v>jan</v>
      </c>
      <c r="F185" s="1" t="str">
        <f t="shared" si="7"/>
        <v>1998</v>
      </c>
      <c r="G185" s="1">
        <v>35839</v>
      </c>
      <c r="H185" s="1">
        <v>35816</v>
      </c>
      <c r="I185">
        <v>1</v>
      </c>
      <c r="J185" t="str">
        <f t="shared" si="8"/>
        <v>UPS</v>
      </c>
      <c r="K185">
        <v>411.88</v>
      </c>
      <c r="L185" t="s">
        <v>68</v>
      </c>
      <c r="M185" t="s">
        <v>215</v>
      </c>
      <c r="N185" t="s">
        <v>216</v>
      </c>
      <c r="P185" t="s">
        <v>217</v>
      </c>
      <c r="Q185" t="s">
        <v>218</v>
      </c>
    </row>
    <row r="186" spans="2:17" customFormat="1" ht="15" hidden="1" x14ac:dyDescent="0.25">
      <c r="B186">
        <v>10854</v>
      </c>
      <c r="C186" t="s">
        <v>212</v>
      </c>
      <c r="D186" s="1">
        <v>35822</v>
      </c>
      <c r="E186" s="1" t="str">
        <f t="shared" si="6"/>
        <v>jan</v>
      </c>
      <c r="F186" s="1" t="str">
        <f t="shared" si="7"/>
        <v>1998</v>
      </c>
      <c r="G186" s="1">
        <v>35850</v>
      </c>
      <c r="H186" s="1">
        <v>35831</v>
      </c>
      <c r="I186">
        <v>2</v>
      </c>
      <c r="J186" t="str">
        <f t="shared" si="8"/>
        <v>USPS</v>
      </c>
      <c r="K186">
        <v>100.22</v>
      </c>
      <c r="L186" t="s">
        <v>68</v>
      </c>
      <c r="M186" t="s">
        <v>215</v>
      </c>
      <c r="N186" t="s">
        <v>216</v>
      </c>
      <c r="P186" t="s">
        <v>217</v>
      </c>
      <c r="Q186" t="s">
        <v>218</v>
      </c>
    </row>
    <row r="187" spans="2:17" customFormat="1" ht="15" hidden="1" x14ac:dyDescent="0.25">
      <c r="B187">
        <v>10895</v>
      </c>
      <c r="C187" t="s">
        <v>212</v>
      </c>
      <c r="D187" s="1">
        <v>35844</v>
      </c>
      <c r="E187" s="1" t="str">
        <f t="shared" si="6"/>
        <v>fev</v>
      </c>
      <c r="F187" s="1" t="str">
        <f t="shared" si="7"/>
        <v>1998</v>
      </c>
      <c r="G187" s="1">
        <v>35872</v>
      </c>
      <c r="H187" s="1">
        <v>35849</v>
      </c>
      <c r="I187">
        <v>1</v>
      </c>
      <c r="J187" t="str">
        <f t="shared" si="8"/>
        <v>UPS</v>
      </c>
      <c r="K187">
        <v>162.75</v>
      </c>
      <c r="L187" t="s">
        <v>68</v>
      </c>
      <c r="M187" t="s">
        <v>215</v>
      </c>
      <c r="N187" t="s">
        <v>216</v>
      </c>
      <c r="P187" t="s">
        <v>217</v>
      </c>
      <c r="Q187" t="s">
        <v>218</v>
      </c>
    </row>
    <row r="188" spans="2:17" customFormat="1" ht="15" hidden="1" x14ac:dyDescent="0.25">
      <c r="B188">
        <v>10968</v>
      </c>
      <c r="C188" t="s">
        <v>212</v>
      </c>
      <c r="D188" s="1">
        <v>35877</v>
      </c>
      <c r="E188" s="1" t="str">
        <f t="shared" si="6"/>
        <v>mar</v>
      </c>
      <c r="F188" s="1" t="str">
        <f t="shared" si="7"/>
        <v>1998</v>
      </c>
      <c r="G188" s="1">
        <v>35905</v>
      </c>
      <c r="H188" s="1">
        <v>35886</v>
      </c>
      <c r="I188">
        <v>3</v>
      </c>
      <c r="J188" t="str">
        <f t="shared" si="8"/>
        <v>DHL</v>
      </c>
      <c r="K188">
        <v>74.599999999999994</v>
      </c>
      <c r="L188" t="s">
        <v>68</v>
      </c>
      <c r="M188" t="s">
        <v>215</v>
      </c>
      <c r="N188" t="s">
        <v>216</v>
      </c>
      <c r="P188" t="s">
        <v>217</v>
      </c>
      <c r="Q188" t="s">
        <v>218</v>
      </c>
    </row>
    <row r="189" spans="2:17" customFormat="1" ht="15" hidden="1" x14ac:dyDescent="0.25">
      <c r="B189">
        <v>10979</v>
      </c>
      <c r="C189" t="s">
        <v>212</v>
      </c>
      <c r="D189" s="1">
        <v>35880</v>
      </c>
      <c r="E189" s="1" t="str">
        <f t="shared" si="6"/>
        <v>mar</v>
      </c>
      <c r="F189" s="1" t="str">
        <f t="shared" si="7"/>
        <v>1998</v>
      </c>
      <c r="G189" s="1">
        <v>35908</v>
      </c>
      <c r="H189" s="1">
        <v>35885</v>
      </c>
      <c r="I189">
        <v>2</v>
      </c>
      <c r="J189" t="str">
        <f t="shared" si="8"/>
        <v>USPS</v>
      </c>
      <c r="K189">
        <v>353.07</v>
      </c>
      <c r="L189" t="s">
        <v>68</v>
      </c>
      <c r="M189" t="s">
        <v>215</v>
      </c>
      <c r="N189" t="s">
        <v>216</v>
      </c>
      <c r="P189" t="s">
        <v>217</v>
      </c>
      <c r="Q189" t="s">
        <v>218</v>
      </c>
    </row>
    <row r="190" spans="2:17" customFormat="1" ht="15" hidden="1" x14ac:dyDescent="0.25">
      <c r="B190">
        <v>10990</v>
      </c>
      <c r="C190" t="s">
        <v>212</v>
      </c>
      <c r="D190" s="1">
        <v>35886</v>
      </c>
      <c r="E190" s="1" t="str">
        <f t="shared" si="6"/>
        <v>abr</v>
      </c>
      <c r="F190" s="1" t="str">
        <f t="shared" si="7"/>
        <v>1998</v>
      </c>
      <c r="G190" s="1">
        <v>35928</v>
      </c>
      <c r="H190" s="1">
        <v>35892</v>
      </c>
      <c r="I190">
        <v>3</v>
      </c>
      <c r="J190" t="str">
        <f t="shared" si="8"/>
        <v>DHL</v>
      </c>
      <c r="K190">
        <v>117.61</v>
      </c>
      <c r="L190" t="s">
        <v>68</v>
      </c>
      <c r="M190" t="s">
        <v>215</v>
      </c>
      <c r="N190" t="s">
        <v>216</v>
      </c>
      <c r="P190" t="s">
        <v>217</v>
      </c>
      <c r="Q190" t="s">
        <v>218</v>
      </c>
    </row>
    <row r="191" spans="2:17" customFormat="1" ht="15" hidden="1" x14ac:dyDescent="0.25">
      <c r="B191">
        <v>11008</v>
      </c>
      <c r="C191" t="s">
        <v>212</v>
      </c>
      <c r="D191" s="1">
        <v>35893</v>
      </c>
      <c r="E191" s="1" t="str">
        <f t="shared" si="6"/>
        <v>abr</v>
      </c>
      <c r="F191" s="1" t="str">
        <f t="shared" si="7"/>
        <v>1998</v>
      </c>
      <c r="G191" s="1">
        <v>35921</v>
      </c>
      <c r="H191" s="1"/>
      <c r="I191">
        <v>3</v>
      </c>
      <c r="J191" t="str">
        <f t="shared" si="8"/>
        <v>DHL</v>
      </c>
      <c r="K191">
        <v>79.459999999999994</v>
      </c>
      <c r="L191" t="s">
        <v>68</v>
      </c>
      <c r="M191" t="s">
        <v>215</v>
      </c>
      <c r="N191" t="s">
        <v>216</v>
      </c>
      <c r="P191" t="s">
        <v>217</v>
      </c>
      <c r="Q191" t="s">
        <v>218</v>
      </c>
    </row>
    <row r="192" spans="2:17" customFormat="1" ht="15" hidden="1" x14ac:dyDescent="0.25">
      <c r="B192">
        <v>11017</v>
      </c>
      <c r="C192" t="s">
        <v>212</v>
      </c>
      <c r="D192" s="1">
        <v>35898</v>
      </c>
      <c r="E192" s="1" t="str">
        <f t="shared" si="6"/>
        <v>abr</v>
      </c>
      <c r="F192" s="1" t="str">
        <f t="shared" si="7"/>
        <v>1998</v>
      </c>
      <c r="G192" s="1">
        <v>35926</v>
      </c>
      <c r="H192" s="1">
        <v>35905</v>
      </c>
      <c r="I192">
        <v>2</v>
      </c>
      <c r="J192" t="str">
        <f t="shared" si="8"/>
        <v>USPS</v>
      </c>
      <c r="K192">
        <v>754.26</v>
      </c>
      <c r="L192" t="s">
        <v>68</v>
      </c>
      <c r="M192" t="s">
        <v>215</v>
      </c>
      <c r="N192" t="s">
        <v>216</v>
      </c>
      <c r="P192" t="s">
        <v>217</v>
      </c>
      <c r="Q192" t="s">
        <v>218</v>
      </c>
    </row>
    <row r="193" spans="2:17" customFormat="1" ht="15" hidden="1" x14ac:dyDescent="0.25">
      <c r="B193">
        <v>11072</v>
      </c>
      <c r="C193" t="s">
        <v>212</v>
      </c>
      <c r="D193" s="1">
        <v>35920</v>
      </c>
      <c r="E193" s="1" t="str">
        <f t="shared" si="6"/>
        <v>mai</v>
      </c>
      <c r="F193" s="1" t="str">
        <f t="shared" si="7"/>
        <v>1998</v>
      </c>
      <c r="G193" s="1">
        <v>35948</v>
      </c>
      <c r="H193" s="1"/>
      <c r="I193">
        <v>2</v>
      </c>
      <c r="J193" t="str">
        <f t="shared" si="8"/>
        <v>USPS</v>
      </c>
      <c r="K193">
        <v>258.64</v>
      </c>
      <c r="L193" t="s">
        <v>68</v>
      </c>
      <c r="M193" t="s">
        <v>215</v>
      </c>
      <c r="N193" t="s">
        <v>216</v>
      </c>
      <c r="P193" t="s">
        <v>217</v>
      </c>
      <c r="Q193" t="s">
        <v>218</v>
      </c>
    </row>
    <row r="194" spans="2:17" customFormat="1" ht="15" hidden="1" x14ac:dyDescent="0.25">
      <c r="B194">
        <v>10347</v>
      </c>
      <c r="C194" t="s">
        <v>220</v>
      </c>
      <c r="D194" s="1">
        <v>35375</v>
      </c>
      <c r="E194" s="1" t="str">
        <f t="shared" si="6"/>
        <v>nov</v>
      </c>
      <c r="F194" s="1" t="str">
        <f t="shared" si="7"/>
        <v>1996</v>
      </c>
      <c r="G194" s="1">
        <v>35403</v>
      </c>
      <c r="H194" s="1">
        <v>35377</v>
      </c>
      <c r="I194">
        <v>3</v>
      </c>
      <c r="J194" t="str">
        <f t="shared" si="8"/>
        <v>DHL</v>
      </c>
      <c r="K194">
        <v>3.1</v>
      </c>
      <c r="L194" t="s">
        <v>67</v>
      </c>
      <c r="M194" t="s">
        <v>222</v>
      </c>
      <c r="N194" t="s">
        <v>186</v>
      </c>
      <c r="O194" t="s">
        <v>187</v>
      </c>
      <c r="P194" t="s">
        <v>223</v>
      </c>
      <c r="Q194" t="s">
        <v>189</v>
      </c>
    </row>
    <row r="195" spans="2:17" customFormat="1" ht="15" hidden="1" x14ac:dyDescent="0.25">
      <c r="B195">
        <v>10386</v>
      </c>
      <c r="C195" t="s">
        <v>220</v>
      </c>
      <c r="D195" s="1">
        <v>35417</v>
      </c>
      <c r="E195" s="1" t="str">
        <f t="shared" si="6"/>
        <v>dez</v>
      </c>
      <c r="F195" s="1" t="str">
        <f t="shared" si="7"/>
        <v>1996</v>
      </c>
      <c r="G195" s="1">
        <v>35431</v>
      </c>
      <c r="H195" s="1">
        <v>35424</v>
      </c>
      <c r="I195">
        <v>3</v>
      </c>
      <c r="J195" t="str">
        <f t="shared" si="8"/>
        <v>DHL</v>
      </c>
      <c r="K195">
        <v>13.99</v>
      </c>
      <c r="L195" t="s">
        <v>67</v>
      </c>
      <c r="M195" t="s">
        <v>222</v>
      </c>
      <c r="N195" t="s">
        <v>186</v>
      </c>
      <c r="O195" t="s">
        <v>187</v>
      </c>
      <c r="P195" t="s">
        <v>223</v>
      </c>
      <c r="Q195" t="s">
        <v>189</v>
      </c>
    </row>
    <row r="196" spans="2:17" customFormat="1" ht="15" hidden="1" x14ac:dyDescent="0.25">
      <c r="B196">
        <v>10414</v>
      </c>
      <c r="C196" t="s">
        <v>220</v>
      </c>
      <c r="D196" s="1">
        <v>35444</v>
      </c>
      <c r="E196" s="1" t="str">
        <f t="shared" si="6"/>
        <v>jan</v>
      </c>
      <c r="F196" s="1" t="str">
        <f t="shared" si="7"/>
        <v>1997</v>
      </c>
      <c r="G196" s="1">
        <v>35472</v>
      </c>
      <c r="H196" s="1">
        <v>35447</v>
      </c>
      <c r="I196">
        <v>3</v>
      </c>
      <c r="J196" t="str">
        <f t="shared" si="8"/>
        <v>DHL</v>
      </c>
      <c r="K196">
        <v>21.48</v>
      </c>
      <c r="L196" t="s">
        <v>67</v>
      </c>
      <c r="M196" t="s">
        <v>222</v>
      </c>
      <c r="N196" t="s">
        <v>186</v>
      </c>
      <c r="O196" t="s">
        <v>187</v>
      </c>
      <c r="P196" t="s">
        <v>223</v>
      </c>
      <c r="Q196" t="s">
        <v>189</v>
      </c>
    </row>
    <row r="197" spans="2:17" customFormat="1" ht="15" hidden="1" x14ac:dyDescent="0.25">
      <c r="B197">
        <v>10512</v>
      </c>
      <c r="C197" t="s">
        <v>220</v>
      </c>
      <c r="D197" s="1">
        <v>35541</v>
      </c>
      <c r="E197" s="1" t="str">
        <f t="shared" si="6"/>
        <v>abr</v>
      </c>
      <c r="F197" s="1" t="str">
        <f t="shared" si="7"/>
        <v>1997</v>
      </c>
      <c r="G197" s="1">
        <v>35569</v>
      </c>
      <c r="H197" s="1">
        <v>35544</v>
      </c>
      <c r="I197">
        <v>2</v>
      </c>
      <c r="J197" t="str">
        <f t="shared" si="8"/>
        <v>USPS</v>
      </c>
      <c r="K197">
        <v>3.53</v>
      </c>
      <c r="L197" t="s">
        <v>67</v>
      </c>
      <c r="M197" t="s">
        <v>222</v>
      </c>
      <c r="N197" t="s">
        <v>186</v>
      </c>
      <c r="O197" t="s">
        <v>187</v>
      </c>
      <c r="P197" t="s">
        <v>223</v>
      </c>
      <c r="Q197" t="s">
        <v>189</v>
      </c>
    </row>
    <row r="198" spans="2:17" customFormat="1" ht="15" hidden="1" x14ac:dyDescent="0.25">
      <c r="B198">
        <v>10581</v>
      </c>
      <c r="C198" t="s">
        <v>220</v>
      </c>
      <c r="D198" s="1">
        <v>35607</v>
      </c>
      <c r="E198" s="1" t="str">
        <f t="shared" si="6"/>
        <v>jun</v>
      </c>
      <c r="F198" s="1" t="str">
        <f t="shared" si="7"/>
        <v>1997</v>
      </c>
      <c r="G198" s="1">
        <v>35635</v>
      </c>
      <c r="H198" s="1">
        <v>35613</v>
      </c>
      <c r="I198">
        <v>1</v>
      </c>
      <c r="J198" t="str">
        <f t="shared" si="8"/>
        <v>UPS</v>
      </c>
      <c r="K198">
        <v>3.01</v>
      </c>
      <c r="L198" t="s">
        <v>67</v>
      </c>
      <c r="M198" t="s">
        <v>222</v>
      </c>
      <c r="N198" t="s">
        <v>186</v>
      </c>
      <c r="O198" t="s">
        <v>187</v>
      </c>
      <c r="P198" t="s">
        <v>223</v>
      </c>
      <c r="Q198" t="s">
        <v>189</v>
      </c>
    </row>
    <row r="199" spans="2:17" customFormat="1" ht="15" hidden="1" x14ac:dyDescent="0.25">
      <c r="B199">
        <v>10650</v>
      </c>
      <c r="C199" t="s">
        <v>220</v>
      </c>
      <c r="D199" s="1">
        <v>35671</v>
      </c>
      <c r="E199" s="1" t="str">
        <f t="shared" si="6"/>
        <v>ago</v>
      </c>
      <c r="F199" s="1" t="str">
        <f t="shared" si="7"/>
        <v>1997</v>
      </c>
      <c r="G199" s="1">
        <v>35699</v>
      </c>
      <c r="H199" s="1">
        <v>35676</v>
      </c>
      <c r="I199">
        <v>3</v>
      </c>
      <c r="J199" t="str">
        <f t="shared" si="8"/>
        <v>DHL</v>
      </c>
      <c r="K199">
        <v>176.81</v>
      </c>
      <c r="L199" t="s">
        <v>67</v>
      </c>
      <c r="M199" t="s">
        <v>222</v>
      </c>
      <c r="N199" t="s">
        <v>186</v>
      </c>
      <c r="O199" t="s">
        <v>187</v>
      </c>
      <c r="P199" t="s">
        <v>223</v>
      </c>
      <c r="Q199" t="s">
        <v>189</v>
      </c>
    </row>
    <row r="200" spans="2:17" customFormat="1" ht="15" hidden="1" x14ac:dyDescent="0.25">
      <c r="B200">
        <v>10725</v>
      </c>
      <c r="C200" t="s">
        <v>220</v>
      </c>
      <c r="D200" s="1">
        <v>35734</v>
      </c>
      <c r="E200" s="1" t="str">
        <f t="shared" si="6"/>
        <v>out</v>
      </c>
      <c r="F200" s="1" t="str">
        <f t="shared" si="7"/>
        <v>1997</v>
      </c>
      <c r="G200" s="1">
        <v>35762</v>
      </c>
      <c r="H200" s="1">
        <v>35739</v>
      </c>
      <c r="I200">
        <v>3</v>
      </c>
      <c r="J200" t="str">
        <f t="shared" si="8"/>
        <v>DHL</v>
      </c>
      <c r="K200">
        <v>10.83</v>
      </c>
      <c r="L200" t="s">
        <v>67</v>
      </c>
      <c r="M200" t="s">
        <v>222</v>
      </c>
      <c r="N200" t="s">
        <v>186</v>
      </c>
      <c r="O200" t="s">
        <v>187</v>
      </c>
      <c r="P200" t="s">
        <v>223</v>
      </c>
      <c r="Q200" t="s">
        <v>189</v>
      </c>
    </row>
    <row r="201" spans="2:17" customFormat="1" ht="15" hidden="1" x14ac:dyDescent="0.25">
      <c r="B201">
        <v>10408</v>
      </c>
      <c r="C201" t="s">
        <v>230</v>
      </c>
      <c r="D201" s="1">
        <v>35438</v>
      </c>
      <c r="E201" s="1" t="str">
        <f t="shared" si="6"/>
        <v>jan</v>
      </c>
      <c r="F201" s="1" t="str">
        <f t="shared" si="7"/>
        <v>1997</v>
      </c>
      <c r="G201" s="1">
        <v>35466</v>
      </c>
      <c r="H201" s="1">
        <v>35444</v>
      </c>
      <c r="I201">
        <v>1</v>
      </c>
      <c r="J201" t="str">
        <f t="shared" si="8"/>
        <v>UPS</v>
      </c>
      <c r="K201">
        <v>11.26</v>
      </c>
      <c r="L201" t="s">
        <v>66</v>
      </c>
      <c r="M201" t="s">
        <v>233</v>
      </c>
      <c r="N201" t="s">
        <v>234</v>
      </c>
      <c r="P201" t="s">
        <v>235</v>
      </c>
      <c r="Q201" t="s">
        <v>134</v>
      </c>
    </row>
    <row r="202" spans="2:17" customFormat="1" ht="15" hidden="1" x14ac:dyDescent="0.25">
      <c r="B202">
        <v>10480</v>
      </c>
      <c r="C202" t="s">
        <v>230</v>
      </c>
      <c r="D202" s="1">
        <v>35509</v>
      </c>
      <c r="E202" s="1" t="str">
        <f t="shared" si="6"/>
        <v>mar</v>
      </c>
      <c r="F202" s="1" t="str">
        <f t="shared" si="7"/>
        <v>1997</v>
      </c>
      <c r="G202" s="1">
        <v>35537</v>
      </c>
      <c r="H202" s="1">
        <v>35513</v>
      </c>
      <c r="I202">
        <v>2</v>
      </c>
      <c r="J202" t="str">
        <f t="shared" si="8"/>
        <v>USPS</v>
      </c>
      <c r="K202">
        <v>1.35</v>
      </c>
      <c r="L202" t="s">
        <v>66</v>
      </c>
      <c r="M202" t="s">
        <v>233</v>
      </c>
      <c r="N202" t="s">
        <v>234</v>
      </c>
      <c r="P202" t="s">
        <v>235</v>
      </c>
      <c r="Q202" t="s">
        <v>134</v>
      </c>
    </row>
    <row r="203" spans="2:17" customFormat="1" ht="15" hidden="1" x14ac:dyDescent="0.25">
      <c r="B203">
        <v>10634</v>
      </c>
      <c r="C203" t="s">
        <v>230</v>
      </c>
      <c r="D203" s="1">
        <v>35657</v>
      </c>
      <c r="E203" s="1" t="str">
        <f t="shared" si="6"/>
        <v>ago</v>
      </c>
      <c r="F203" s="1" t="str">
        <f t="shared" si="7"/>
        <v>1997</v>
      </c>
      <c r="G203" s="1">
        <v>35685</v>
      </c>
      <c r="H203" s="1">
        <v>35663</v>
      </c>
      <c r="I203">
        <v>3</v>
      </c>
      <c r="J203" t="str">
        <f t="shared" si="8"/>
        <v>DHL</v>
      </c>
      <c r="K203">
        <v>487.38</v>
      </c>
      <c r="L203" t="s">
        <v>66</v>
      </c>
      <c r="M203" t="s">
        <v>233</v>
      </c>
      <c r="N203" t="s">
        <v>234</v>
      </c>
      <c r="P203" t="s">
        <v>235</v>
      </c>
      <c r="Q203" t="s">
        <v>134</v>
      </c>
    </row>
    <row r="204" spans="2:17" customFormat="1" ht="15" hidden="1" x14ac:dyDescent="0.25">
      <c r="B204">
        <v>10763</v>
      </c>
      <c r="C204" t="s">
        <v>230</v>
      </c>
      <c r="D204" s="1">
        <v>35767</v>
      </c>
      <c r="E204" s="1" t="str">
        <f t="shared" si="6"/>
        <v>dez</v>
      </c>
      <c r="F204" s="1" t="str">
        <f t="shared" si="7"/>
        <v>1997</v>
      </c>
      <c r="G204" s="1">
        <v>35795</v>
      </c>
      <c r="H204" s="1">
        <v>35772</v>
      </c>
      <c r="I204">
        <v>3</v>
      </c>
      <c r="J204" t="str">
        <f t="shared" si="8"/>
        <v>DHL</v>
      </c>
      <c r="K204">
        <v>37.35</v>
      </c>
      <c r="L204" t="s">
        <v>66</v>
      </c>
      <c r="M204" t="s">
        <v>233</v>
      </c>
      <c r="N204" t="s">
        <v>234</v>
      </c>
      <c r="P204" t="s">
        <v>235</v>
      </c>
      <c r="Q204" t="s">
        <v>134</v>
      </c>
    </row>
    <row r="205" spans="2:17" customFormat="1" ht="15" hidden="1" x14ac:dyDescent="0.25">
      <c r="B205">
        <v>10789</v>
      </c>
      <c r="C205" t="s">
        <v>230</v>
      </c>
      <c r="D205" s="1">
        <v>35786</v>
      </c>
      <c r="E205" s="1" t="str">
        <f t="shared" si="6"/>
        <v>dez</v>
      </c>
      <c r="F205" s="1" t="str">
        <f t="shared" si="7"/>
        <v>1997</v>
      </c>
      <c r="G205" s="1">
        <v>35814</v>
      </c>
      <c r="H205" s="1">
        <v>35795</v>
      </c>
      <c r="I205">
        <v>2</v>
      </c>
      <c r="J205" t="str">
        <f t="shared" si="8"/>
        <v>USPS</v>
      </c>
      <c r="K205">
        <v>100.6</v>
      </c>
      <c r="L205" t="s">
        <v>66</v>
      </c>
      <c r="M205" t="s">
        <v>233</v>
      </c>
      <c r="N205" t="s">
        <v>234</v>
      </c>
      <c r="P205" t="s">
        <v>235</v>
      </c>
      <c r="Q205" t="s">
        <v>134</v>
      </c>
    </row>
    <row r="206" spans="2:17" customFormat="1" ht="15" hidden="1" x14ac:dyDescent="0.25">
      <c r="B206">
        <v>10264</v>
      </c>
      <c r="C206" t="s">
        <v>237</v>
      </c>
      <c r="D206" s="1">
        <v>35270</v>
      </c>
      <c r="E206" s="1" t="str">
        <f t="shared" ref="E206:E269" si="9">TEXT(D206,"mmm")</f>
        <v>jul</v>
      </c>
      <c r="F206" s="1" t="str">
        <f t="shared" ref="F206:F269" si="10">TEXT(D206,"aaa")</f>
        <v>1996</v>
      </c>
      <c r="G206" s="1">
        <v>35298</v>
      </c>
      <c r="H206" s="1">
        <v>35300</v>
      </c>
      <c r="I206">
        <v>3</v>
      </c>
      <c r="J206" t="str">
        <f t="shared" ref="J206:J269" si="11">CHOOSE(I206,"UPS","USPS","DHL")</f>
        <v>DHL</v>
      </c>
      <c r="K206">
        <v>3.67</v>
      </c>
      <c r="L206" t="s">
        <v>65</v>
      </c>
      <c r="M206" t="s">
        <v>239</v>
      </c>
      <c r="N206" t="s">
        <v>240</v>
      </c>
      <c r="P206" t="s">
        <v>241</v>
      </c>
      <c r="Q206" t="s">
        <v>121</v>
      </c>
    </row>
    <row r="207" spans="2:17" customFormat="1" ht="15" hidden="1" x14ac:dyDescent="0.25">
      <c r="B207">
        <v>10327</v>
      </c>
      <c r="C207" t="s">
        <v>237</v>
      </c>
      <c r="D207" s="1">
        <v>35349</v>
      </c>
      <c r="E207" s="1" t="str">
        <f t="shared" si="9"/>
        <v>out</v>
      </c>
      <c r="F207" s="1" t="str">
        <f t="shared" si="10"/>
        <v>1996</v>
      </c>
      <c r="G207" s="1">
        <v>35377</v>
      </c>
      <c r="H207" s="1">
        <v>35352</v>
      </c>
      <c r="I207">
        <v>1</v>
      </c>
      <c r="J207" t="str">
        <f t="shared" si="11"/>
        <v>UPS</v>
      </c>
      <c r="K207">
        <v>63.36</v>
      </c>
      <c r="L207" t="s">
        <v>65</v>
      </c>
      <c r="M207" t="s">
        <v>239</v>
      </c>
      <c r="N207" t="s">
        <v>240</v>
      </c>
      <c r="P207" t="s">
        <v>241</v>
      </c>
      <c r="Q207" t="s">
        <v>121</v>
      </c>
    </row>
    <row r="208" spans="2:17" customFormat="1" ht="15" hidden="1" x14ac:dyDescent="0.25">
      <c r="B208">
        <v>10378</v>
      </c>
      <c r="C208" t="s">
        <v>237</v>
      </c>
      <c r="D208" s="1">
        <v>35409</v>
      </c>
      <c r="E208" s="1" t="str">
        <f t="shared" si="9"/>
        <v>dez</v>
      </c>
      <c r="F208" s="1" t="str">
        <f t="shared" si="10"/>
        <v>1996</v>
      </c>
      <c r="G208" s="1">
        <v>35437</v>
      </c>
      <c r="H208" s="1">
        <v>35418</v>
      </c>
      <c r="I208">
        <v>3</v>
      </c>
      <c r="J208" t="str">
        <f t="shared" si="11"/>
        <v>DHL</v>
      </c>
      <c r="K208">
        <v>5.44</v>
      </c>
      <c r="L208" t="s">
        <v>65</v>
      </c>
      <c r="M208" t="s">
        <v>239</v>
      </c>
      <c r="N208" t="s">
        <v>240</v>
      </c>
      <c r="P208" t="s">
        <v>241</v>
      </c>
      <c r="Q208" t="s">
        <v>121</v>
      </c>
    </row>
    <row r="209" spans="2:17" customFormat="1" ht="15" hidden="1" x14ac:dyDescent="0.25">
      <c r="B209">
        <v>10434</v>
      </c>
      <c r="C209" t="s">
        <v>237</v>
      </c>
      <c r="D209" s="1">
        <v>35464</v>
      </c>
      <c r="E209" s="1" t="str">
        <f t="shared" si="9"/>
        <v>fev</v>
      </c>
      <c r="F209" s="1" t="str">
        <f t="shared" si="10"/>
        <v>1997</v>
      </c>
      <c r="G209" s="1">
        <v>35492</v>
      </c>
      <c r="H209" s="1">
        <v>35474</v>
      </c>
      <c r="I209">
        <v>2</v>
      </c>
      <c r="J209" t="str">
        <f t="shared" si="11"/>
        <v>USPS</v>
      </c>
      <c r="K209">
        <v>17.920000000000002</v>
      </c>
      <c r="L209" t="s">
        <v>65</v>
      </c>
      <c r="M209" t="s">
        <v>239</v>
      </c>
      <c r="N209" t="s">
        <v>240</v>
      </c>
      <c r="P209" t="s">
        <v>241</v>
      </c>
      <c r="Q209" t="s">
        <v>121</v>
      </c>
    </row>
    <row r="210" spans="2:17" customFormat="1" ht="15" hidden="1" x14ac:dyDescent="0.25">
      <c r="B210">
        <v>10460</v>
      </c>
      <c r="C210" t="s">
        <v>237</v>
      </c>
      <c r="D210" s="1">
        <v>35489</v>
      </c>
      <c r="E210" s="1" t="str">
        <f t="shared" si="9"/>
        <v>fev</v>
      </c>
      <c r="F210" s="1" t="str">
        <f t="shared" si="10"/>
        <v>1997</v>
      </c>
      <c r="G210" s="1">
        <v>35517</v>
      </c>
      <c r="H210" s="1">
        <v>35492</v>
      </c>
      <c r="I210">
        <v>1</v>
      </c>
      <c r="J210" t="str">
        <f t="shared" si="11"/>
        <v>UPS</v>
      </c>
      <c r="K210">
        <v>16.27</v>
      </c>
      <c r="L210" t="s">
        <v>65</v>
      </c>
      <c r="M210" t="s">
        <v>239</v>
      </c>
      <c r="N210" t="s">
        <v>240</v>
      </c>
      <c r="P210" t="s">
        <v>241</v>
      </c>
      <c r="Q210" t="s">
        <v>121</v>
      </c>
    </row>
    <row r="211" spans="2:17" customFormat="1" ht="15" hidden="1" x14ac:dyDescent="0.25">
      <c r="B211">
        <v>10533</v>
      </c>
      <c r="C211" t="s">
        <v>237</v>
      </c>
      <c r="D211" s="1">
        <v>35562</v>
      </c>
      <c r="E211" s="1" t="str">
        <f t="shared" si="9"/>
        <v>mai</v>
      </c>
      <c r="F211" s="1" t="str">
        <f t="shared" si="10"/>
        <v>1997</v>
      </c>
      <c r="G211" s="1">
        <v>35590</v>
      </c>
      <c r="H211" s="1">
        <v>35572</v>
      </c>
      <c r="I211">
        <v>1</v>
      </c>
      <c r="J211" t="str">
        <f t="shared" si="11"/>
        <v>UPS</v>
      </c>
      <c r="K211">
        <v>188.04</v>
      </c>
      <c r="L211" t="s">
        <v>65</v>
      </c>
      <c r="M211" t="s">
        <v>239</v>
      </c>
      <c r="N211" t="s">
        <v>240</v>
      </c>
      <c r="P211" t="s">
        <v>241</v>
      </c>
      <c r="Q211" t="s">
        <v>121</v>
      </c>
    </row>
    <row r="212" spans="2:17" customFormat="1" ht="15" hidden="1" x14ac:dyDescent="0.25">
      <c r="B212">
        <v>10561</v>
      </c>
      <c r="C212" t="s">
        <v>237</v>
      </c>
      <c r="D212" s="1">
        <v>35587</v>
      </c>
      <c r="E212" s="1" t="str">
        <f t="shared" si="9"/>
        <v>jun</v>
      </c>
      <c r="F212" s="1" t="str">
        <f t="shared" si="10"/>
        <v>1997</v>
      </c>
      <c r="G212" s="1">
        <v>35615</v>
      </c>
      <c r="H212" s="1">
        <v>35590</v>
      </c>
      <c r="I212">
        <v>2</v>
      </c>
      <c r="J212" t="str">
        <f t="shared" si="11"/>
        <v>USPS</v>
      </c>
      <c r="K212">
        <v>242.21</v>
      </c>
      <c r="L212" t="s">
        <v>65</v>
      </c>
      <c r="M212" t="s">
        <v>239</v>
      </c>
      <c r="N212" t="s">
        <v>240</v>
      </c>
      <c r="P212" t="s">
        <v>241</v>
      </c>
      <c r="Q212" t="s">
        <v>121</v>
      </c>
    </row>
    <row r="213" spans="2:17" customFormat="1" ht="15" hidden="1" x14ac:dyDescent="0.25">
      <c r="B213">
        <v>10703</v>
      </c>
      <c r="C213" t="s">
        <v>237</v>
      </c>
      <c r="D213" s="1">
        <v>35717</v>
      </c>
      <c r="E213" s="1" t="str">
        <f t="shared" si="9"/>
        <v>out</v>
      </c>
      <c r="F213" s="1" t="str">
        <f t="shared" si="10"/>
        <v>1997</v>
      </c>
      <c r="G213" s="1">
        <v>35745</v>
      </c>
      <c r="H213" s="1">
        <v>35723</v>
      </c>
      <c r="I213">
        <v>2</v>
      </c>
      <c r="J213" t="str">
        <f t="shared" si="11"/>
        <v>USPS</v>
      </c>
      <c r="K213">
        <v>152.30000000000001</v>
      </c>
      <c r="L213" t="s">
        <v>65</v>
      </c>
      <c r="M213" t="s">
        <v>239</v>
      </c>
      <c r="N213" t="s">
        <v>240</v>
      </c>
      <c r="P213" t="s">
        <v>241</v>
      </c>
      <c r="Q213" t="s">
        <v>121</v>
      </c>
    </row>
    <row r="214" spans="2:17" customFormat="1" ht="15" hidden="1" x14ac:dyDescent="0.25">
      <c r="B214">
        <v>10762</v>
      </c>
      <c r="C214" t="s">
        <v>237</v>
      </c>
      <c r="D214" s="1">
        <v>35766</v>
      </c>
      <c r="E214" s="1" t="str">
        <f t="shared" si="9"/>
        <v>dez</v>
      </c>
      <c r="F214" s="1" t="str">
        <f t="shared" si="10"/>
        <v>1997</v>
      </c>
      <c r="G214" s="1">
        <v>35794</v>
      </c>
      <c r="H214" s="1">
        <v>35773</v>
      </c>
      <c r="I214">
        <v>1</v>
      </c>
      <c r="J214" t="str">
        <f t="shared" si="11"/>
        <v>UPS</v>
      </c>
      <c r="K214">
        <v>328.74</v>
      </c>
      <c r="L214" t="s">
        <v>65</v>
      </c>
      <c r="M214" t="s">
        <v>239</v>
      </c>
      <c r="N214" t="s">
        <v>240</v>
      </c>
      <c r="P214" t="s">
        <v>241</v>
      </c>
      <c r="Q214" t="s">
        <v>121</v>
      </c>
    </row>
    <row r="215" spans="2:17" customFormat="1" ht="15" hidden="1" x14ac:dyDescent="0.25">
      <c r="B215">
        <v>10774</v>
      </c>
      <c r="C215" t="s">
        <v>237</v>
      </c>
      <c r="D215" s="1">
        <v>35775</v>
      </c>
      <c r="E215" s="1" t="str">
        <f t="shared" si="9"/>
        <v>dez</v>
      </c>
      <c r="F215" s="1" t="str">
        <f t="shared" si="10"/>
        <v>1997</v>
      </c>
      <c r="G215" s="1">
        <v>35789</v>
      </c>
      <c r="H215" s="1">
        <v>35776</v>
      </c>
      <c r="I215">
        <v>1</v>
      </c>
      <c r="J215" t="str">
        <f t="shared" si="11"/>
        <v>UPS</v>
      </c>
      <c r="K215">
        <v>48.2</v>
      </c>
      <c r="L215" t="s">
        <v>65</v>
      </c>
      <c r="M215" t="s">
        <v>239</v>
      </c>
      <c r="N215" t="s">
        <v>240</v>
      </c>
      <c r="P215" t="s">
        <v>241</v>
      </c>
      <c r="Q215" t="s">
        <v>121</v>
      </c>
    </row>
    <row r="216" spans="2:17" customFormat="1" ht="15" hidden="1" x14ac:dyDescent="0.25">
      <c r="B216">
        <v>10824</v>
      </c>
      <c r="C216" t="s">
        <v>237</v>
      </c>
      <c r="D216" s="1">
        <v>35804</v>
      </c>
      <c r="E216" s="1" t="str">
        <f t="shared" si="9"/>
        <v>jan</v>
      </c>
      <c r="F216" s="1" t="str">
        <f t="shared" si="10"/>
        <v>1998</v>
      </c>
      <c r="G216" s="1">
        <v>35832</v>
      </c>
      <c r="H216" s="1">
        <v>35825</v>
      </c>
      <c r="I216">
        <v>1</v>
      </c>
      <c r="J216" t="str">
        <f t="shared" si="11"/>
        <v>UPS</v>
      </c>
      <c r="K216">
        <v>1.23</v>
      </c>
      <c r="L216" t="s">
        <v>65</v>
      </c>
      <c r="M216" t="s">
        <v>239</v>
      </c>
      <c r="N216" t="s">
        <v>240</v>
      </c>
      <c r="P216" t="s">
        <v>241</v>
      </c>
      <c r="Q216" t="s">
        <v>121</v>
      </c>
    </row>
    <row r="217" spans="2:17" customFormat="1" ht="15" hidden="1" x14ac:dyDescent="0.25">
      <c r="B217">
        <v>10880</v>
      </c>
      <c r="C217" t="s">
        <v>237</v>
      </c>
      <c r="D217" s="1">
        <v>35836</v>
      </c>
      <c r="E217" s="1" t="str">
        <f t="shared" si="9"/>
        <v>fev</v>
      </c>
      <c r="F217" s="1" t="str">
        <f t="shared" si="10"/>
        <v>1998</v>
      </c>
      <c r="G217" s="1">
        <v>35878</v>
      </c>
      <c r="H217" s="1">
        <v>35844</v>
      </c>
      <c r="I217">
        <v>1</v>
      </c>
      <c r="J217" t="str">
        <f t="shared" si="11"/>
        <v>UPS</v>
      </c>
      <c r="K217">
        <v>88.01</v>
      </c>
      <c r="L217" t="s">
        <v>65</v>
      </c>
      <c r="M217" t="s">
        <v>239</v>
      </c>
      <c r="N217" t="s">
        <v>240</v>
      </c>
      <c r="P217" t="s">
        <v>241</v>
      </c>
      <c r="Q217" t="s">
        <v>121</v>
      </c>
    </row>
    <row r="218" spans="2:17" customFormat="1" ht="15" hidden="1" x14ac:dyDescent="0.25">
      <c r="B218">
        <v>10902</v>
      </c>
      <c r="C218" t="s">
        <v>237</v>
      </c>
      <c r="D218" s="1">
        <v>35849</v>
      </c>
      <c r="E218" s="1" t="str">
        <f t="shared" si="9"/>
        <v>fev</v>
      </c>
      <c r="F218" s="1" t="str">
        <f t="shared" si="10"/>
        <v>1998</v>
      </c>
      <c r="G218" s="1">
        <v>35877</v>
      </c>
      <c r="H218" s="1">
        <v>35857</v>
      </c>
      <c r="I218">
        <v>1</v>
      </c>
      <c r="J218" t="str">
        <f t="shared" si="11"/>
        <v>UPS</v>
      </c>
      <c r="K218">
        <v>44.15</v>
      </c>
      <c r="L218" t="s">
        <v>65</v>
      </c>
      <c r="M218" t="s">
        <v>239</v>
      </c>
      <c r="N218" t="s">
        <v>240</v>
      </c>
      <c r="P218" t="s">
        <v>241</v>
      </c>
      <c r="Q218" t="s">
        <v>121</v>
      </c>
    </row>
    <row r="219" spans="2:17" customFormat="1" ht="15" hidden="1" x14ac:dyDescent="0.25">
      <c r="B219">
        <v>10955</v>
      </c>
      <c r="C219" t="s">
        <v>237</v>
      </c>
      <c r="D219" s="1">
        <v>35871</v>
      </c>
      <c r="E219" s="1" t="str">
        <f t="shared" si="9"/>
        <v>mar</v>
      </c>
      <c r="F219" s="1" t="str">
        <f t="shared" si="10"/>
        <v>1998</v>
      </c>
      <c r="G219" s="1">
        <v>35899</v>
      </c>
      <c r="H219" s="1">
        <v>35874</v>
      </c>
      <c r="I219">
        <v>2</v>
      </c>
      <c r="J219" t="str">
        <f t="shared" si="11"/>
        <v>USPS</v>
      </c>
      <c r="K219">
        <v>3.26</v>
      </c>
      <c r="L219" t="s">
        <v>65</v>
      </c>
      <c r="M219" t="s">
        <v>239</v>
      </c>
      <c r="N219" t="s">
        <v>240</v>
      </c>
      <c r="P219" t="s">
        <v>241</v>
      </c>
      <c r="Q219" t="s">
        <v>121</v>
      </c>
    </row>
    <row r="220" spans="2:17" customFormat="1" ht="15" hidden="1" x14ac:dyDescent="0.25">
      <c r="B220">
        <v>10977</v>
      </c>
      <c r="C220" t="s">
        <v>237</v>
      </c>
      <c r="D220" s="1">
        <v>35880</v>
      </c>
      <c r="E220" s="1" t="str">
        <f t="shared" si="9"/>
        <v>mar</v>
      </c>
      <c r="F220" s="1" t="str">
        <f t="shared" si="10"/>
        <v>1998</v>
      </c>
      <c r="G220" s="1">
        <v>35908</v>
      </c>
      <c r="H220" s="1">
        <v>35895</v>
      </c>
      <c r="I220">
        <v>3</v>
      </c>
      <c r="J220" t="str">
        <f t="shared" si="11"/>
        <v>DHL</v>
      </c>
      <c r="K220">
        <v>208.5</v>
      </c>
      <c r="L220" t="s">
        <v>65</v>
      </c>
      <c r="M220" t="s">
        <v>239</v>
      </c>
      <c r="N220" t="s">
        <v>240</v>
      </c>
      <c r="P220" t="s">
        <v>241</v>
      </c>
      <c r="Q220" t="s">
        <v>121</v>
      </c>
    </row>
    <row r="221" spans="2:17" customFormat="1" ht="15" hidden="1" x14ac:dyDescent="0.25">
      <c r="B221">
        <v>10980</v>
      </c>
      <c r="C221" t="s">
        <v>237</v>
      </c>
      <c r="D221" s="1">
        <v>35881</v>
      </c>
      <c r="E221" s="1" t="str">
        <f t="shared" si="9"/>
        <v>mar</v>
      </c>
      <c r="F221" s="1" t="str">
        <f t="shared" si="10"/>
        <v>1998</v>
      </c>
      <c r="G221" s="1">
        <v>35923</v>
      </c>
      <c r="H221" s="1">
        <v>35902</v>
      </c>
      <c r="I221">
        <v>1</v>
      </c>
      <c r="J221" t="str">
        <f t="shared" si="11"/>
        <v>UPS</v>
      </c>
      <c r="K221">
        <v>1.26</v>
      </c>
      <c r="L221" t="s">
        <v>65</v>
      </c>
      <c r="M221" t="s">
        <v>239</v>
      </c>
      <c r="N221" t="s">
        <v>240</v>
      </c>
      <c r="P221" t="s">
        <v>241</v>
      </c>
      <c r="Q221" t="s">
        <v>121</v>
      </c>
    </row>
    <row r="222" spans="2:17" customFormat="1" ht="15" hidden="1" x14ac:dyDescent="0.25">
      <c r="B222">
        <v>10993</v>
      </c>
      <c r="C222" t="s">
        <v>237</v>
      </c>
      <c r="D222" s="1">
        <v>35886</v>
      </c>
      <c r="E222" s="1" t="str">
        <f t="shared" si="9"/>
        <v>abr</v>
      </c>
      <c r="F222" s="1" t="str">
        <f t="shared" si="10"/>
        <v>1998</v>
      </c>
      <c r="G222" s="1">
        <v>35914</v>
      </c>
      <c r="H222" s="1">
        <v>35895</v>
      </c>
      <c r="I222">
        <v>3</v>
      </c>
      <c r="J222" t="str">
        <f t="shared" si="11"/>
        <v>DHL</v>
      </c>
      <c r="K222">
        <v>8.81</v>
      </c>
      <c r="L222" t="s">
        <v>65</v>
      </c>
      <c r="M222" t="s">
        <v>239</v>
      </c>
      <c r="N222" t="s">
        <v>240</v>
      </c>
      <c r="P222" t="s">
        <v>241</v>
      </c>
      <c r="Q222" t="s">
        <v>121</v>
      </c>
    </row>
    <row r="223" spans="2:17" customFormat="1" ht="15" hidden="1" x14ac:dyDescent="0.25">
      <c r="B223">
        <v>11001</v>
      </c>
      <c r="C223" t="s">
        <v>237</v>
      </c>
      <c r="D223" s="1">
        <v>35891</v>
      </c>
      <c r="E223" s="1" t="str">
        <f t="shared" si="9"/>
        <v>abr</v>
      </c>
      <c r="F223" s="1" t="str">
        <f t="shared" si="10"/>
        <v>1998</v>
      </c>
      <c r="G223" s="1">
        <v>35919</v>
      </c>
      <c r="H223" s="1">
        <v>35899</v>
      </c>
      <c r="I223">
        <v>2</v>
      </c>
      <c r="J223" t="str">
        <f t="shared" si="11"/>
        <v>USPS</v>
      </c>
      <c r="K223">
        <v>197.3</v>
      </c>
      <c r="L223" t="s">
        <v>65</v>
      </c>
      <c r="M223" t="s">
        <v>239</v>
      </c>
      <c r="N223" t="s">
        <v>240</v>
      </c>
      <c r="P223" t="s">
        <v>241</v>
      </c>
      <c r="Q223" t="s">
        <v>121</v>
      </c>
    </row>
    <row r="224" spans="2:17" customFormat="1" ht="15" hidden="1" x14ac:dyDescent="0.25">
      <c r="B224">
        <v>11050</v>
      </c>
      <c r="C224" t="s">
        <v>237</v>
      </c>
      <c r="D224" s="1">
        <v>35912</v>
      </c>
      <c r="E224" s="1" t="str">
        <f t="shared" si="9"/>
        <v>abr</v>
      </c>
      <c r="F224" s="1" t="str">
        <f t="shared" si="10"/>
        <v>1998</v>
      </c>
      <c r="G224" s="1">
        <v>35940</v>
      </c>
      <c r="H224" s="1">
        <v>35920</v>
      </c>
      <c r="I224">
        <v>2</v>
      </c>
      <c r="J224" t="str">
        <f t="shared" si="11"/>
        <v>USPS</v>
      </c>
      <c r="K224">
        <v>59.41</v>
      </c>
      <c r="L224" t="s">
        <v>65</v>
      </c>
      <c r="M224" t="s">
        <v>239</v>
      </c>
      <c r="N224" t="s">
        <v>240</v>
      </c>
      <c r="P224" t="s">
        <v>241</v>
      </c>
      <c r="Q224" t="s">
        <v>121</v>
      </c>
    </row>
    <row r="225" spans="2:17" customFormat="1" ht="15" hidden="1" x14ac:dyDescent="0.25">
      <c r="B225">
        <v>10267</v>
      </c>
      <c r="C225" t="s">
        <v>243</v>
      </c>
      <c r="D225" s="1">
        <v>35275</v>
      </c>
      <c r="E225" s="1" t="str">
        <f t="shared" si="9"/>
        <v>jul</v>
      </c>
      <c r="F225" s="1" t="str">
        <f t="shared" si="10"/>
        <v>1996</v>
      </c>
      <c r="G225" s="1">
        <v>35303</v>
      </c>
      <c r="H225" s="1">
        <v>35283</v>
      </c>
      <c r="I225">
        <v>1</v>
      </c>
      <c r="J225" t="str">
        <f t="shared" si="11"/>
        <v>UPS</v>
      </c>
      <c r="K225">
        <v>208.58</v>
      </c>
      <c r="L225" t="s">
        <v>64</v>
      </c>
      <c r="M225" t="s">
        <v>245</v>
      </c>
      <c r="N225" t="s">
        <v>246</v>
      </c>
      <c r="P225" t="s">
        <v>247</v>
      </c>
      <c r="Q225" t="s">
        <v>94</v>
      </c>
    </row>
    <row r="226" spans="2:17" customFormat="1" ht="15" hidden="1" x14ac:dyDescent="0.25">
      <c r="B226">
        <v>10337</v>
      </c>
      <c r="C226" t="s">
        <v>243</v>
      </c>
      <c r="D226" s="1">
        <v>35362</v>
      </c>
      <c r="E226" s="1" t="str">
        <f t="shared" si="9"/>
        <v>out</v>
      </c>
      <c r="F226" s="1" t="str">
        <f t="shared" si="10"/>
        <v>1996</v>
      </c>
      <c r="G226" s="1">
        <v>35390</v>
      </c>
      <c r="H226" s="1">
        <v>35367</v>
      </c>
      <c r="I226">
        <v>3</v>
      </c>
      <c r="J226" t="str">
        <f t="shared" si="11"/>
        <v>DHL</v>
      </c>
      <c r="K226">
        <v>108.26</v>
      </c>
      <c r="L226" t="s">
        <v>64</v>
      </c>
      <c r="M226" t="s">
        <v>245</v>
      </c>
      <c r="N226" t="s">
        <v>246</v>
      </c>
      <c r="P226" t="s">
        <v>247</v>
      </c>
      <c r="Q226" t="s">
        <v>94</v>
      </c>
    </row>
    <row r="227" spans="2:17" customFormat="1" ht="15" hidden="1" x14ac:dyDescent="0.25">
      <c r="B227">
        <v>10342</v>
      </c>
      <c r="C227" t="s">
        <v>243</v>
      </c>
      <c r="D227" s="1">
        <v>35368</v>
      </c>
      <c r="E227" s="1" t="str">
        <f t="shared" si="9"/>
        <v>out</v>
      </c>
      <c r="F227" s="1" t="str">
        <f t="shared" si="10"/>
        <v>1996</v>
      </c>
      <c r="G227" s="1">
        <v>35382</v>
      </c>
      <c r="H227" s="1">
        <v>35373</v>
      </c>
      <c r="I227">
        <v>2</v>
      </c>
      <c r="J227" t="str">
        <f t="shared" si="11"/>
        <v>USPS</v>
      </c>
      <c r="K227">
        <v>54.83</v>
      </c>
      <c r="L227" t="s">
        <v>64</v>
      </c>
      <c r="M227" t="s">
        <v>245</v>
      </c>
      <c r="N227" t="s">
        <v>246</v>
      </c>
      <c r="P227" t="s">
        <v>247</v>
      </c>
      <c r="Q227" t="s">
        <v>94</v>
      </c>
    </row>
    <row r="228" spans="2:17" customFormat="1" ht="15" hidden="1" x14ac:dyDescent="0.25">
      <c r="B228">
        <v>10396</v>
      </c>
      <c r="C228" t="s">
        <v>243</v>
      </c>
      <c r="D228" s="1">
        <v>35426</v>
      </c>
      <c r="E228" s="1" t="str">
        <f t="shared" si="9"/>
        <v>dez</v>
      </c>
      <c r="F228" s="1" t="str">
        <f t="shared" si="10"/>
        <v>1996</v>
      </c>
      <c r="G228" s="1">
        <v>35440</v>
      </c>
      <c r="H228" s="1">
        <v>35436</v>
      </c>
      <c r="I228">
        <v>3</v>
      </c>
      <c r="J228" t="str">
        <f t="shared" si="11"/>
        <v>DHL</v>
      </c>
      <c r="K228">
        <v>135.35</v>
      </c>
      <c r="L228" t="s">
        <v>64</v>
      </c>
      <c r="M228" t="s">
        <v>245</v>
      </c>
      <c r="N228" t="s">
        <v>246</v>
      </c>
      <c r="P228" t="s">
        <v>247</v>
      </c>
      <c r="Q228" t="s">
        <v>94</v>
      </c>
    </row>
    <row r="229" spans="2:17" customFormat="1" ht="15" hidden="1" x14ac:dyDescent="0.25">
      <c r="B229">
        <v>10488</v>
      </c>
      <c r="C229" t="s">
        <v>243</v>
      </c>
      <c r="D229" s="1">
        <v>35516</v>
      </c>
      <c r="E229" s="1" t="str">
        <f t="shared" si="9"/>
        <v>mar</v>
      </c>
      <c r="F229" s="1" t="str">
        <f t="shared" si="10"/>
        <v>1997</v>
      </c>
      <c r="G229" s="1">
        <v>35544</v>
      </c>
      <c r="H229" s="1">
        <v>35522</v>
      </c>
      <c r="I229">
        <v>2</v>
      </c>
      <c r="J229" t="str">
        <f t="shared" si="11"/>
        <v>USPS</v>
      </c>
      <c r="K229">
        <v>4.93</v>
      </c>
      <c r="L229" t="s">
        <v>64</v>
      </c>
      <c r="M229" t="s">
        <v>245</v>
      </c>
      <c r="N229" t="s">
        <v>246</v>
      </c>
      <c r="P229" t="s">
        <v>247</v>
      </c>
      <c r="Q229" t="s">
        <v>94</v>
      </c>
    </row>
    <row r="230" spans="2:17" customFormat="1" ht="15" hidden="1" x14ac:dyDescent="0.25">
      <c r="B230">
        <v>10560</v>
      </c>
      <c r="C230" t="s">
        <v>243</v>
      </c>
      <c r="D230" s="1">
        <v>35587</v>
      </c>
      <c r="E230" s="1" t="str">
        <f t="shared" si="9"/>
        <v>jun</v>
      </c>
      <c r="F230" s="1" t="str">
        <f t="shared" si="10"/>
        <v>1997</v>
      </c>
      <c r="G230" s="1">
        <v>35615</v>
      </c>
      <c r="H230" s="1">
        <v>35590</v>
      </c>
      <c r="I230">
        <v>1</v>
      </c>
      <c r="J230" t="str">
        <f t="shared" si="11"/>
        <v>UPS</v>
      </c>
      <c r="K230">
        <v>36.65</v>
      </c>
      <c r="L230" t="s">
        <v>64</v>
      </c>
      <c r="M230" t="s">
        <v>245</v>
      </c>
      <c r="N230" t="s">
        <v>246</v>
      </c>
      <c r="P230" t="s">
        <v>247</v>
      </c>
      <c r="Q230" t="s">
        <v>94</v>
      </c>
    </row>
    <row r="231" spans="2:17" customFormat="1" ht="15" hidden="1" x14ac:dyDescent="0.25">
      <c r="B231">
        <v>10623</v>
      </c>
      <c r="C231" t="s">
        <v>243</v>
      </c>
      <c r="D231" s="1">
        <v>35649</v>
      </c>
      <c r="E231" s="1" t="str">
        <f t="shared" si="9"/>
        <v>ago</v>
      </c>
      <c r="F231" s="1" t="str">
        <f t="shared" si="10"/>
        <v>1997</v>
      </c>
      <c r="G231" s="1">
        <v>35677</v>
      </c>
      <c r="H231" s="1">
        <v>35654</v>
      </c>
      <c r="I231">
        <v>2</v>
      </c>
      <c r="J231" t="str">
        <f t="shared" si="11"/>
        <v>USPS</v>
      </c>
      <c r="K231">
        <v>97.18</v>
      </c>
      <c r="L231" t="s">
        <v>64</v>
      </c>
      <c r="M231" t="s">
        <v>245</v>
      </c>
      <c r="N231" t="s">
        <v>246</v>
      </c>
      <c r="P231" t="s">
        <v>247</v>
      </c>
      <c r="Q231" t="s">
        <v>94</v>
      </c>
    </row>
    <row r="232" spans="2:17" customFormat="1" ht="15" hidden="1" x14ac:dyDescent="0.25">
      <c r="B232">
        <v>10653</v>
      </c>
      <c r="C232" t="s">
        <v>243</v>
      </c>
      <c r="D232" s="1">
        <v>35675</v>
      </c>
      <c r="E232" s="1" t="str">
        <f t="shared" si="9"/>
        <v>set</v>
      </c>
      <c r="F232" s="1" t="str">
        <f t="shared" si="10"/>
        <v>1997</v>
      </c>
      <c r="G232" s="1">
        <v>35703</v>
      </c>
      <c r="H232" s="1">
        <v>35692</v>
      </c>
      <c r="I232">
        <v>1</v>
      </c>
      <c r="J232" t="str">
        <f t="shared" si="11"/>
        <v>UPS</v>
      </c>
      <c r="K232">
        <v>93.25</v>
      </c>
      <c r="L232" t="s">
        <v>64</v>
      </c>
      <c r="M232" t="s">
        <v>245</v>
      </c>
      <c r="N232" t="s">
        <v>246</v>
      </c>
      <c r="P232" t="s">
        <v>247</v>
      </c>
      <c r="Q232" t="s">
        <v>94</v>
      </c>
    </row>
    <row r="233" spans="2:17" customFormat="1" ht="15" hidden="1" x14ac:dyDescent="0.25">
      <c r="B233">
        <v>10670</v>
      </c>
      <c r="C233" t="s">
        <v>243</v>
      </c>
      <c r="D233" s="1">
        <v>35689</v>
      </c>
      <c r="E233" s="1" t="str">
        <f t="shared" si="9"/>
        <v>set</v>
      </c>
      <c r="F233" s="1" t="str">
        <f t="shared" si="10"/>
        <v>1997</v>
      </c>
      <c r="G233" s="1">
        <v>35717</v>
      </c>
      <c r="H233" s="1">
        <v>35691</v>
      </c>
      <c r="I233">
        <v>1</v>
      </c>
      <c r="J233" t="str">
        <f t="shared" si="11"/>
        <v>UPS</v>
      </c>
      <c r="K233">
        <v>203.48</v>
      </c>
      <c r="L233" t="s">
        <v>64</v>
      </c>
      <c r="M233" t="s">
        <v>245</v>
      </c>
      <c r="N233" t="s">
        <v>246</v>
      </c>
      <c r="P233" t="s">
        <v>247</v>
      </c>
      <c r="Q233" t="s">
        <v>94</v>
      </c>
    </row>
    <row r="234" spans="2:17" customFormat="1" ht="15" hidden="1" x14ac:dyDescent="0.25">
      <c r="B234">
        <v>10675</v>
      </c>
      <c r="C234" t="s">
        <v>243</v>
      </c>
      <c r="D234" s="1">
        <v>35692</v>
      </c>
      <c r="E234" s="1" t="str">
        <f t="shared" si="9"/>
        <v>set</v>
      </c>
      <c r="F234" s="1" t="str">
        <f t="shared" si="10"/>
        <v>1997</v>
      </c>
      <c r="G234" s="1">
        <v>35720</v>
      </c>
      <c r="H234" s="1">
        <v>35696</v>
      </c>
      <c r="I234">
        <v>2</v>
      </c>
      <c r="J234" t="str">
        <f t="shared" si="11"/>
        <v>USPS</v>
      </c>
      <c r="K234">
        <v>31.85</v>
      </c>
      <c r="L234" t="s">
        <v>64</v>
      </c>
      <c r="M234" t="s">
        <v>245</v>
      </c>
      <c r="N234" t="s">
        <v>246</v>
      </c>
      <c r="P234" t="s">
        <v>247</v>
      </c>
      <c r="Q234" t="s">
        <v>94</v>
      </c>
    </row>
    <row r="235" spans="2:17" customFormat="1" ht="15" hidden="1" x14ac:dyDescent="0.25">
      <c r="B235">
        <v>10717</v>
      </c>
      <c r="C235" t="s">
        <v>243</v>
      </c>
      <c r="D235" s="1">
        <v>35727</v>
      </c>
      <c r="E235" s="1" t="str">
        <f t="shared" si="9"/>
        <v>out</v>
      </c>
      <c r="F235" s="1" t="str">
        <f t="shared" si="10"/>
        <v>1997</v>
      </c>
      <c r="G235" s="1">
        <v>35755</v>
      </c>
      <c r="H235" s="1">
        <v>35732</v>
      </c>
      <c r="I235">
        <v>2</v>
      </c>
      <c r="J235" t="str">
        <f t="shared" si="11"/>
        <v>USPS</v>
      </c>
      <c r="K235">
        <v>59.25</v>
      </c>
      <c r="L235" t="s">
        <v>64</v>
      </c>
      <c r="M235" t="s">
        <v>245</v>
      </c>
      <c r="N235" t="s">
        <v>246</v>
      </c>
      <c r="P235" t="s">
        <v>247</v>
      </c>
      <c r="Q235" t="s">
        <v>94</v>
      </c>
    </row>
    <row r="236" spans="2:17" customFormat="1" ht="15" hidden="1" x14ac:dyDescent="0.25">
      <c r="B236">
        <v>10791</v>
      </c>
      <c r="C236" t="s">
        <v>243</v>
      </c>
      <c r="D236" s="1">
        <v>35787</v>
      </c>
      <c r="E236" s="1" t="str">
        <f t="shared" si="9"/>
        <v>dez</v>
      </c>
      <c r="F236" s="1" t="str">
        <f t="shared" si="10"/>
        <v>1997</v>
      </c>
      <c r="G236" s="1">
        <v>35815</v>
      </c>
      <c r="H236" s="1">
        <v>35796</v>
      </c>
      <c r="I236">
        <v>2</v>
      </c>
      <c r="J236" t="str">
        <f t="shared" si="11"/>
        <v>USPS</v>
      </c>
      <c r="K236">
        <v>16.850000000000001</v>
      </c>
      <c r="L236" t="s">
        <v>64</v>
      </c>
      <c r="M236" t="s">
        <v>245</v>
      </c>
      <c r="N236" t="s">
        <v>246</v>
      </c>
      <c r="P236" t="s">
        <v>247</v>
      </c>
      <c r="Q236" t="s">
        <v>94</v>
      </c>
    </row>
    <row r="237" spans="2:17" customFormat="1" ht="15" hidden="1" x14ac:dyDescent="0.25">
      <c r="B237">
        <v>10859</v>
      </c>
      <c r="C237" t="s">
        <v>243</v>
      </c>
      <c r="D237" s="1">
        <v>35824</v>
      </c>
      <c r="E237" s="1" t="str">
        <f t="shared" si="9"/>
        <v>jan</v>
      </c>
      <c r="F237" s="1" t="str">
        <f t="shared" si="10"/>
        <v>1998</v>
      </c>
      <c r="G237" s="1">
        <v>35852</v>
      </c>
      <c r="H237" s="1">
        <v>35828</v>
      </c>
      <c r="I237">
        <v>2</v>
      </c>
      <c r="J237" t="str">
        <f t="shared" si="11"/>
        <v>USPS</v>
      </c>
      <c r="K237">
        <v>76.099999999999994</v>
      </c>
      <c r="L237" t="s">
        <v>64</v>
      </c>
      <c r="M237" t="s">
        <v>245</v>
      </c>
      <c r="N237" t="s">
        <v>246</v>
      </c>
      <c r="P237" t="s">
        <v>247</v>
      </c>
      <c r="Q237" t="s">
        <v>94</v>
      </c>
    </row>
    <row r="238" spans="2:17" customFormat="1" ht="15" hidden="1" x14ac:dyDescent="0.25">
      <c r="B238">
        <v>10929</v>
      </c>
      <c r="C238" t="s">
        <v>243</v>
      </c>
      <c r="D238" s="1">
        <v>35859</v>
      </c>
      <c r="E238" s="1" t="str">
        <f t="shared" si="9"/>
        <v>mar</v>
      </c>
      <c r="F238" s="1" t="str">
        <f t="shared" si="10"/>
        <v>1998</v>
      </c>
      <c r="G238" s="1">
        <v>35887</v>
      </c>
      <c r="H238" s="1">
        <v>35866</v>
      </c>
      <c r="I238">
        <v>1</v>
      </c>
      <c r="J238" t="str">
        <f t="shared" si="11"/>
        <v>UPS</v>
      </c>
      <c r="K238">
        <v>33.93</v>
      </c>
      <c r="L238" t="s">
        <v>64</v>
      </c>
      <c r="M238" t="s">
        <v>245</v>
      </c>
      <c r="N238" t="s">
        <v>246</v>
      </c>
      <c r="P238" t="s">
        <v>247</v>
      </c>
      <c r="Q238" t="s">
        <v>94</v>
      </c>
    </row>
    <row r="239" spans="2:17" customFormat="1" ht="15" hidden="1" x14ac:dyDescent="0.25">
      <c r="B239">
        <v>11012</v>
      </c>
      <c r="C239" t="s">
        <v>243</v>
      </c>
      <c r="D239" s="1">
        <v>35894</v>
      </c>
      <c r="E239" s="1" t="str">
        <f t="shared" si="9"/>
        <v>abr</v>
      </c>
      <c r="F239" s="1" t="str">
        <f t="shared" si="10"/>
        <v>1998</v>
      </c>
      <c r="G239" s="1">
        <v>35908</v>
      </c>
      <c r="H239" s="1">
        <v>35902</v>
      </c>
      <c r="I239">
        <v>3</v>
      </c>
      <c r="J239" t="str">
        <f t="shared" si="11"/>
        <v>DHL</v>
      </c>
      <c r="K239">
        <v>242.95</v>
      </c>
      <c r="L239" t="s">
        <v>64</v>
      </c>
      <c r="M239" t="s">
        <v>245</v>
      </c>
      <c r="N239" t="s">
        <v>246</v>
      </c>
      <c r="P239" t="s">
        <v>247</v>
      </c>
      <c r="Q239" t="s">
        <v>94</v>
      </c>
    </row>
    <row r="240" spans="2:17" customFormat="1" ht="15" hidden="1" x14ac:dyDescent="0.25">
      <c r="B240">
        <v>10671</v>
      </c>
      <c r="C240" t="s">
        <v>249</v>
      </c>
      <c r="D240" s="1">
        <v>35690</v>
      </c>
      <c r="E240" s="1" t="str">
        <f t="shared" si="9"/>
        <v>set</v>
      </c>
      <c r="F240" s="1" t="str">
        <f t="shared" si="10"/>
        <v>1997</v>
      </c>
      <c r="G240" s="1">
        <v>35718</v>
      </c>
      <c r="H240" s="1">
        <v>35697</v>
      </c>
      <c r="I240">
        <v>1</v>
      </c>
      <c r="J240" t="str">
        <f t="shared" si="11"/>
        <v>UPS</v>
      </c>
      <c r="K240">
        <v>30.34</v>
      </c>
      <c r="L240" t="s">
        <v>63</v>
      </c>
      <c r="M240" t="s">
        <v>251</v>
      </c>
      <c r="N240" t="s">
        <v>205</v>
      </c>
      <c r="P240" t="s">
        <v>206</v>
      </c>
      <c r="Q240" t="s">
        <v>134</v>
      </c>
    </row>
    <row r="241" spans="2:17" customFormat="1" ht="15" hidden="1" x14ac:dyDescent="0.25">
      <c r="B241">
        <v>10860</v>
      </c>
      <c r="C241" t="s">
        <v>249</v>
      </c>
      <c r="D241" s="1">
        <v>35824</v>
      </c>
      <c r="E241" s="1" t="str">
        <f t="shared" si="9"/>
        <v>jan</v>
      </c>
      <c r="F241" s="1" t="str">
        <f t="shared" si="10"/>
        <v>1998</v>
      </c>
      <c r="G241" s="1">
        <v>35852</v>
      </c>
      <c r="H241" s="1">
        <v>35830</v>
      </c>
      <c r="I241">
        <v>3</v>
      </c>
      <c r="J241" t="str">
        <f t="shared" si="11"/>
        <v>DHL</v>
      </c>
      <c r="K241">
        <v>19.260000000000002</v>
      </c>
      <c r="L241" t="s">
        <v>63</v>
      </c>
      <c r="M241" t="s">
        <v>251</v>
      </c>
      <c r="N241" t="s">
        <v>205</v>
      </c>
      <c r="P241" t="s">
        <v>206</v>
      </c>
      <c r="Q241" t="s">
        <v>134</v>
      </c>
    </row>
    <row r="242" spans="2:17" customFormat="1" ht="15" hidden="1" x14ac:dyDescent="0.25">
      <c r="B242">
        <v>10971</v>
      </c>
      <c r="C242" t="s">
        <v>249</v>
      </c>
      <c r="D242" s="1">
        <v>35878</v>
      </c>
      <c r="E242" s="1" t="str">
        <f t="shared" si="9"/>
        <v>mar</v>
      </c>
      <c r="F242" s="1" t="str">
        <f t="shared" si="10"/>
        <v>1998</v>
      </c>
      <c r="G242" s="1">
        <v>35906</v>
      </c>
      <c r="H242" s="1">
        <v>35887</v>
      </c>
      <c r="I242">
        <v>2</v>
      </c>
      <c r="J242" t="str">
        <f t="shared" si="11"/>
        <v>USPS</v>
      </c>
      <c r="K242">
        <v>121.82</v>
      </c>
      <c r="L242" t="s">
        <v>63</v>
      </c>
      <c r="M242" t="s">
        <v>251</v>
      </c>
      <c r="N242" t="s">
        <v>205</v>
      </c>
      <c r="P242" t="s">
        <v>206</v>
      </c>
      <c r="Q242" t="s">
        <v>134</v>
      </c>
    </row>
    <row r="243" spans="2:17" customFormat="1" ht="15" hidden="1" x14ac:dyDescent="0.25">
      <c r="B243">
        <v>10422</v>
      </c>
      <c r="C243" t="s">
        <v>253</v>
      </c>
      <c r="D243" s="1">
        <v>35452</v>
      </c>
      <c r="E243" s="1" t="str">
        <f t="shared" si="9"/>
        <v>jan</v>
      </c>
      <c r="F243" s="1" t="str">
        <f t="shared" si="10"/>
        <v>1997</v>
      </c>
      <c r="G243" s="1">
        <v>35480</v>
      </c>
      <c r="H243" s="1">
        <v>35461</v>
      </c>
      <c r="I243">
        <v>1</v>
      </c>
      <c r="J243" t="str">
        <f t="shared" si="11"/>
        <v>UPS</v>
      </c>
      <c r="K243">
        <v>3.02</v>
      </c>
      <c r="L243" t="s">
        <v>62</v>
      </c>
      <c r="M243" t="s">
        <v>255</v>
      </c>
      <c r="N243" t="s">
        <v>256</v>
      </c>
      <c r="P243" t="s">
        <v>257</v>
      </c>
      <c r="Q243" t="s">
        <v>258</v>
      </c>
    </row>
    <row r="244" spans="2:17" customFormat="1" ht="15" hidden="1" x14ac:dyDescent="0.25">
      <c r="B244">
        <v>10710</v>
      </c>
      <c r="C244" t="s">
        <v>253</v>
      </c>
      <c r="D244" s="1">
        <v>35723</v>
      </c>
      <c r="E244" s="1" t="str">
        <f t="shared" si="9"/>
        <v>out</v>
      </c>
      <c r="F244" s="1" t="str">
        <f t="shared" si="10"/>
        <v>1997</v>
      </c>
      <c r="G244" s="1">
        <v>35751</v>
      </c>
      <c r="H244" s="1">
        <v>35726</v>
      </c>
      <c r="I244">
        <v>1</v>
      </c>
      <c r="J244" t="str">
        <f t="shared" si="11"/>
        <v>UPS</v>
      </c>
      <c r="K244">
        <v>4.9800000000000004</v>
      </c>
      <c r="L244" t="s">
        <v>62</v>
      </c>
      <c r="M244" t="s">
        <v>255</v>
      </c>
      <c r="N244" t="s">
        <v>256</v>
      </c>
      <c r="P244" t="s">
        <v>257</v>
      </c>
      <c r="Q244" t="s">
        <v>258</v>
      </c>
    </row>
    <row r="245" spans="2:17" customFormat="1" ht="15" hidden="1" x14ac:dyDescent="0.25">
      <c r="B245">
        <v>10753</v>
      </c>
      <c r="C245" t="s">
        <v>253</v>
      </c>
      <c r="D245" s="1">
        <v>35759</v>
      </c>
      <c r="E245" s="1" t="str">
        <f t="shared" si="9"/>
        <v>nov</v>
      </c>
      <c r="F245" s="1" t="str">
        <f t="shared" si="10"/>
        <v>1997</v>
      </c>
      <c r="G245" s="1">
        <v>35787</v>
      </c>
      <c r="H245" s="1">
        <v>35761</v>
      </c>
      <c r="I245">
        <v>1</v>
      </c>
      <c r="J245" t="str">
        <f t="shared" si="11"/>
        <v>UPS</v>
      </c>
      <c r="K245">
        <v>7.7</v>
      </c>
      <c r="L245" t="s">
        <v>62</v>
      </c>
      <c r="M245" t="s">
        <v>255</v>
      </c>
      <c r="N245" t="s">
        <v>256</v>
      </c>
      <c r="P245" t="s">
        <v>257</v>
      </c>
      <c r="Q245" t="s">
        <v>258</v>
      </c>
    </row>
    <row r="246" spans="2:17" customFormat="1" ht="15" hidden="1" x14ac:dyDescent="0.25">
      <c r="B246">
        <v>10807</v>
      </c>
      <c r="C246" t="s">
        <v>253</v>
      </c>
      <c r="D246" s="1">
        <v>35795</v>
      </c>
      <c r="E246" s="1" t="str">
        <f t="shared" si="9"/>
        <v>dez</v>
      </c>
      <c r="F246" s="1" t="str">
        <f t="shared" si="10"/>
        <v>1997</v>
      </c>
      <c r="G246" s="1">
        <v>35823</v>
      </c>
      <c r="H246" s="1">
        <v>35825</v>
      </c>
      <c r="I246">
        <v>1</v>
      </c>
      <c r="J246" t="str">
        <f t="shared" si="11"/>
        <v>UPS</v>
      </c>
      <c r="K246">
        <v>1.36</v>
      </c>
      <c r="L246" t="s">
        <v>62</v>
      </c>
      <c r="M246" t="s">
        <v>255</v>
      </c>
      <c r="N246" t="s">
        <v>256</v>
      </c>
      <c r="P246" t="s">
        <v>257</v>
      </c>
      <c r="Q246" t="s">
        <v>258</v>
      </c>
    </row>
    <row r="247" spans="2:17" customFormat="1" ht="15" hidden="1" x14ac:dyDescent="0.25">
      <c r="B247">
        <v>11026</v>
      </c>
      <c r="C247" t="s">
        <v>253</v>
      </c>
      <c r="D247" s="1">
        <v>35900</v>
      </c>
      <c r="E247" s="1" t="str">
        <f t="shared" si="9"/>
        <v>abr</v>
      </c>
      <c r="F247" s="1" t="str">
        <f t="shared" si="10"/>
        <v>1998</v>
      </c>
      <c r="G247" s="1">
        <v>35928</v>
      </c>
      <c r="H247" s="1">
        <v>35913</v>
      </c>
      <c r="I247">
        <v>1</v>
      </c>
      <c r="J247" t="str">
        <f t="shared" si="11"/>
        <v>UPS</v>
      </c>
      <c r="K247">
        <v>47.09</v>
      </c>
      <c r="L247" t="s">
        <v>62</v>
      </c>
      <c r="M247" t="s">
        <v>255</v>
      </c>
      <c r="N247" t="s">
        <v>256</v>
      </c>
      <c r="P247" t="s">
        <v>257</v>
      </c>
      <c r="Q247" t="s">
        <v>258</v>
      </c>
    </row>
    <row r="248" spans="2:17" customFormat="1" ht="15" hidden="1" x14ac:dyDescent="0.25">
      <c r="B248">
        <v>11060</v>
      </c>
      <c r="C248" t="s">
        <v>253</v>
      </c>
      <c r="D248" s="1">
        <v>35915</v>
      </c>
      <c r="E248" s="1" t="str">
        <f t="shared" si="9"/>
        <v>abr</v>
      </c>
      <c r="F248" s="1" t="str">
        <f t="shared" si="10"/>
        <v>1998</v>
      </c>
      <c r="G248" s="1">
        <v>35943</v>
      </c>
      <c r="H248" s="1">
        <v>35919</v>
      </c>
      <c r="I248">
        <v>2</v>
      </c>
      <c r="J248" t="str">
        <f t="shared" si="11"/>
        <v>USPS</v>
      </c>
      <c r="K248">
        <v>10.98</v>
      </c>
      <c r="L248" t="s">
        <v>62</v>
      </c>
      <c r="M248" t="s">
        <v>255</v>
      </c>
      <c r="N248" t="s">
        <v>256</v>
      </c>
      <c r="P248" t="s">
        <v>257</v>
      </c>
      <c r="Q248" t="s">
        <v>258</v>
      </c>
    </row>
    <row r="249" spans="2:17" customFormat="1" ht="15" hidden="1" x14ac:dyDescent="0.25">
      <c r="B249">
        <v>10328</v>
      </c>
      <c r="C249" t="s">
        <v>260</v>
      </c>
      <c r="D249" s="1">
        <v>35352</v>
      </c>
      <c r="E249" s="1" t="str">
        <f t="shared" si="9"/>
        <v>out</v>
      </c>
      <c r="F249" s="1" t="str">
        <f t="shared" si="10"/>
        <v>1996</v>
      </c>
      <c r="G249" s="1">
        <v>35380</v>
      </c>
      <c r="H249" s="1">
        <v>35355</v>
      </c>
      <c r="I249">
        <v>3</v>
      </c>
      <c r="J249" t="str">
        <f t="shared" si="11"/>
        <v>DHL</v>
      </c>
      <c r="K249">
        <v>87.03</v>
      </c>
      <c r="L249" t="s">
        <v>61</v>
      </c>
      <c r="M249" t="s">
        <v>262</v>
      </c>
      <c r="N249" t="s">
        <v>263</v>
      </c>
      <c r="P249" t="s">
        <v>264</v>
      </c>
      <c r="Q249" t="s">
        <v>265</v>
      </c>
    </row>
    <row r="250" spans="2:17" customFormat="1" ht="15" hidden="1" x14ac:dyDescent="0.25">
      <c r="B250">
        <v>10352</v>
      </c>
      <c r="C250" t="s">
        <v>260</v>
      </c>
      <c r="D250" s="1">
        <v>35381</v>
      </c>
      <c r="E250" s="1" t="str">
        <f t="shared" si="9"/>
        <v>nov</v>
      </c>
      <c r="F250" s="1" t="str">
        <f t="shared" si="10"/>
        <v>1996</v>
      </c>
      <c r="G250" s="1">
        <v>35395</v>
      </c>
      <c r="H250" s="1">
        <v>35387</v>
      </c>
      <c r="I250">
        <v>3</v>
      </c>
      <c r="J250" t="str">
        <f t="shared" si="11"/>
        <v>DHL</v>
      </c>
      <c r="K250">
        <v>1.3</v>
      </c>
      <c r="L250" t="s">
        <v>61</v>
      </c>
      <c r="M250" t="s">
        <v>262</v>
      </c>
      <c r="N250" t="s">
        <v>263</v>
      </c>
      <c r="P250" t="s">
        <v>264</v>
      </c>
      <c r="Q250" t="s">
        <v>265</v>
      </c>
    </row>
    <row r="251" spans="2:17" customFormat="1" ht="15" hidden="1" x14ac:dyDescent="0.25">
      <c r="B251">
        <v>10464</v>
      </c>
      <c r="C251" t="s">
        <v>260</v>
      </c>
      <c r="D251" s="1">
        <v>35493</v>
      </c>
      <c r="E251" s="1" t="str">
        <f t="shared" si="9"/>
        <v>mar</v>
      </c>
      <c r="F251" s="1" t="str">
        <f t="shared" si="10"/>
        <v>1997</v>
      </c>
      <c r="G251" s="1">
        <v>35521</v>
      </c>
      <c r="H251" s="1">
        <v>35503</v>
      </c>
      <c r="I251">
        <v>2</v>
      </c>
      <c r="J251" t="str">
        <f t="shared" si="11"/>
        <v>USPS</v>
      </c>
      <c r="K251">
        <v>89</v>
      </c>
      <c r="L251" t="s">
        <v>61</v>
      </c>
      <c r="M251" t="s">
        <v>262</v>
      </c>
      <c r="N251" t="s">
        <v>263</v>
      </c>
      <c r="P251" t="s">
        <v>264</v>
      </c>
      <c r="Q251" t="s">
        <v>265</v>
      </c>
    </row>
    <row r="252" spans="2:17" customFormat="1" ht="15" hidden="1" x14ac:dyDescent="0.25">
      <c r="B252">
        <v>10491</v>
      </c>
      <c r="C252" t="s">
        <v>260</v>
      </c>
      <c r="D252" s="1">
        <v>35520</v>
      </c>
      <c r="E252" s="1" t="str">
        <f t="shared" si="9"/>
        <v>mar</v>
      </c>
      <c r="F252" s="1" t="str">
        <f t="shared" si="10"/>
        <v>1997</v>
      </c>
      <c r="G252" s="1">
        <v>35548</v>
      </c>
      <c r="H252" s="1">
        <v>35528</v>
      </c>
      <c r="I252">
        <v>3</v>
      </c>
      <c r="J252" t="str">
        <f t="shared" si="11"/>
        <v>DHL</v>
      </c>
      <c r="K252">
        <v>16.96</v>
      </c>
      <c r="L252" t="s">
        <v>61</v>
      </c>
      <c r="M252" t="s">
        <v>262</v>
      </c>
      <c r="N252" t="s">
        <v>263</v>
      </c>
      <c r="P252" t="s">
        <v>264</v>
      </c>
      <c r="Q252" t="s">
        <v>265</v>
      </c>
    </row>
    <row r="253" spans="2:17" customFormat="1" ht="15" hidden="1" x14ac:dyDescent="0.25">
      <c r="B253">
        <v>10551</v>
      </c>
      <c r="C253" t="s">
        <v>260</v>
      </c>
      <c r="D253" s="1">
        <v>35578</v>
      </c>
      <c r="E253" s="1" t="str">
        <f t="shared" si="9"/>
        <v>mai</v>
      </c>
      <c r="F253" s="1" t="str">
        <f t="shared" si="10"/>
        <v>1997</v>
      </c>
      <c r="G253" s="1">
        <v>35620</v>
      </c>
      <c r="H253" s="1">
        <v>35587</v>
      </c>
      <c r="I253">
        <v>3</v>
      </c>
      <c r="J253" t="str">
        <f t="shared" si="11"/>
        <v>DHL</v>
      </c>
      <c r="K253">
        <v>72.95</v>
      </c>
      <c r="L253" t="s">
        <v>61</v>
      </c>
      <c r="M253" t="s">
        <v>262</v>
      </c>
      <c r="N253" t="s">
        <v>263</v>
      </c>
      <c r="P253" t="s">
        <v>264</v>
      </c>
      <c r="Q253" t="s">
        <v>265</v>
      </c>
    </row>
    <row r="254" spans="2:17" customFormat="1" ht="15" hidden="1" x14ac:dyDescent="0.25">
      <c r="B254">
        <v>10604</v>
      </c>
      <c r="C254" t="s">
        <v>260</v>
      </c>
      <c r="D254" s="1">
        <v>35629</v>
      </c>
      <c r="E254" s="1" t="str">
        <f t="shared" si="9"/>
        <v>jul</v>
      </c>
      <c r="F254" s="1" t="str">
        <f t="shared" si="10"/>
        <v>1997</v>
      </c>
      <c r="G254" s="1">
        <v>35657</v>
      </c>
      <c r="H254" s="1">
        <v>35640</v>
      </c>
      <c r="I254">
        <v>1</v>
      </c>
      <c r="J254" t="str">
        <f t="shared" si="11"/>
        <v>UPS</v>
      </c>
      <c r="K254">
        <v>7.46</v>
      </c>
      <c r="L254" t="s">
        <v>61</v>
      </c>
      <c r="M254" t="s">
        <v>262</v>
      </c>
      <c r="N254" t="s">
        <v>263</v>
      </c>
      <c r="P254" t="s">
        <v>264</v>
      </c>
      <c r="Q254" t="s">
        <v>265</v>
      </c>
    </row>
    <row r="255" spans="2:17" customFormat="1" ht="15" hidden="1" x14ac:dyDescent="0.25">
      <c r="B255">
        <v>10664</v>
      </c>
      <c r="C255" t="s">
        <v>260</v>
      </c>
      <c r="D255" s="1">
        <v>35683</v>
      </c>
      <c r="E255" s="1" t="str">
        <f t="shared" si="9"/>
        <v>set</v>
      </c>
      <c r="F255" s="1" t="str">
        <f t="shared" si="10"/>
        <v>1997</v>
      </c>
      <c r="G255" s="1">
        <v>35711</v>
      </c>
      <c r="H255" s="1">
        <v>35692</v>
      </c>
      <c r="I255">
        <v>3</v>
      </c>
      <c r="J255" t="str">
        <f t="shared" si="11"/>
        <v>DHL</v>
      </c>
      <c r="K255">
        <v>1.27</v>
      </c>
      <c r="L255" t="s">
        <v>61</v>
      </c>
      <c r="M255" t="s">
        <v>262</v>
      </c>
      <c r="N255" t="s">
        <v>263</v>
      </c>
      <c r="P255" t="s">
        <v>264</v>
      </c>
      <c r="Q255" t="s">
        <v>265</v>
      </c>
    </row>
    <row r="256" spans="2:17" customFormat="1" ht="15" hidden="1" x14ac:dyDescent="0.25">
      <c r="B256">
        <v>10963</v>
      </c>
      <c r="C256" t="s">
        <v>260</v>
      </c>
      <c r="D256" s="1">
        <v>35873</v>
      </c>
      <c r="E256" s="1" t="str">
        <f t="shared" si="9"/>
        <v>mar</v>
      </c>
      <c r="F256" s="1" t="str">
        <f t="shared" si="10"/>
        <v>1998</v>
      </c>
      <c r="G256" s="1">
        <v>35901</v>
      </c>
      <c r="H256" s="1">
        <v>35880</v>
      </c>
      <c r="I256">
        <v>3</v>
      </c>
      <c r="J256" t="str">
        <f t="shared" si="11"/>
        <v>DHL</v>
      </c>
      <c r="K256">
        <v>2.7</v>
      </c>
      <c r="L256" t="s">
        <v>61</v>
      </c>
      <c r="M256" t="s">
        <v>262</v>
      </c>
      <c r="N256" t="s">
        <v>263</v>
      </c>
      <c r="P256" t="s">
        <v>264</v>
      </c>
      <c r="Q256" t="s">
        <v>265</v>
      </c>
    </row>
    <row r="257" spans="2:17" customFormat="1" ht="15" hidden="1" x14ac:dyDescent="0.25">
      <c r="B257">
        <v>10366</v>
      </c>
      <c r="C257" t="s">
        <v>267</v>
      </c>
      <c r="D257" s="1">
        <v>35397</v>
      </c>
      <c r="E257" s="1" t="str">
        <f t="shared" si="9"/>
        <v>nov</v>
      </c>
      <c r="F257" s="1" t="str">
        <f t="shared" si="10"/>
        <v>1996</v>
      </c>
      <c r="G257" s="1">
        <v>35439</v>
      </c>
      <c r="H257" s="1">
        <v>35429</v>
      </c>
      <c r="I257">
        <v>2</v>
      </c>
      <c r="J257" t="str">
        <f t="shared" si="11"/>
        <v>USPS</v>
      </c>
      <c r="K257">
        <v>10.14</v>
      </c>
      <c r="L257" t="s">
        <v>664</v>
      </c>
      <c r="M257" t="s">
        <v>269</v>
      </c>
      <c r="N257" t="s">
        <v>270</v>
      </c>
      <c r="P257" t="s">
        <v>665</v>
      </c>
      <c r="Q257" t="s">
        <v>141</v>
      </c>
    </row>
    <row r="258" spans="2:17" customFormat="1" ht="15" hidden="1" x14ac:dyDescent="0.25">
      <c r="B258">
        <v>10426</v>
      </c>
      <c r="C258" t="s">
        <v>267</v>
      </c>
      <c r="D258" s="1">
        <v>35457</v>
      </c>
      <c r="E258" s="1" t="str">
        <f t="shared" si="9"/>
        <v>jan</v>
      </c>
      <c r="F258" s="1" t="str">
        <f t="shared" si="10"/>
        <v>1997</v>
      </c>
      <c r="G258" s="1">
        <v>35485</v>
      </c>
      <c r="H258" s="1">
        <v>35467</v>
      </c>
      <c r="I258">
        <v>1</v>
      </c>
      <c r="J258" t="str">
        <f t="shared" si="11"/>
        <v>UPS</v>
      </c>
      <c r="K258">
        <v>18.690000000000001</v>
      </c>
      <c r="L258" t="s">
        <v>664</v>
      </c>
      <c r="M258" t="s">
        <v>269</v>
      </c>
      <c r="N258" t="s">
        <v>270</v>
      </c>
      <c r="P258" t="s">
        <v>665</v>
      </c>
      <c r="Q258" t="s">
        <v>141</v>
      </c>
    </row>
    <row r="259" spans="2:17" customFormat="1" ht="15" hidden="1" x14ac:dyDescent="0.25">
      <c r="B259">
        <v>10568</v>
      </c>
      <c r="C259" t="s">
        <v>267</v>
      </c>
      <c r="D259" s="1">
        <v>35594</v>
      </c>
      <c r="E259" s="1" t="str">
        <f t="shared" si="9"/>
        <v>jun</v>
      </c>
      <c r="F259" s="1" t="str">
        <f t="shared" si="10"/>
        <v>1997</v>
      </c>
      <c r="G259" s="1">
        <v>35622</v>
      </c>
      <c r="H259" s="1">
        <v>35620</v>
      </c>
      <c r="I259">
        <v>3</v>
      </c>
      <c r="J259" t="str">
        <f t="shared" si="11"/>
        <v>DHL</v>
      </c>
      <c r="K259">
        <v>6.54</v>
      </c>
      <c r="L259" t="s">
        <v>664</v>
      </c>
      <c r="M259" t="s">
        <v>269</v>
      </c>
      <c r="N259" t="s">
        <v>270</v>
      </c>
      <c r="P259" t="s">
        <v>665</v>
      </c>
      <c r="Q259" t="s">
        <v>141</v>
      </c>
    </row>
    <row r="260" spans="2:17" customFormat="1" ht="15" hidden="1" x14ac:dyDescent="0.25">
      <c r="B260">
        <v>10887</v>
      </c>
      <c r="C260" t="s">
        <v>267</v>
      </c>
      <c r="D260" s="1">
        <v>35839</v>
      </c>
      <c r="E260" s="1" t="str">
        <f t="shared" si="9"/>
        <v>fev</v>
      </c>
      <c r="F260" s="1" t="str">
        <f t="shared" si="10"/>
        <v>1998</v>
      </c>
      <c r="G260" s="1">
        <v>35867</v>
      </c>
      <c r="H260" s="1">
        <v>35842</v>
      </c>
      <c r="I260">
        <v>3</v>
      </c>
      <c r="J260" t="str">
        <f t="shared" si="11"/>
        <v>DHL</v>
      </c>
      <c r="K260">
        <v>1.25</v>
      </c>
      <c r="L260" t="s">
        <v>664</v>
      </c>
      <c r="M260" t="s">
        <v>269</v>
      </c>
      <c r="N260" t="s">
        <v>270</v>
      </c>
      <c r="P260" t="s">
        <v>665</v>
      </c>
      <c r="Q260" t="s">
        <v>141</v>
      </c>
    </row>
    <row r="261" spans="2:17" customFormat="1" ht="15" hidden="1" x14ac:dyDescent="0.25">
      <c r="B261">
        <v>10928</v>
      </c>
      <c r="C261" t="s">
        <v>267</v>
      </c>
      <c r="D261" s="1">
        <v>35859</v>
      </c>
      <c r="E261" s="1" t="str">
        <f t="shared" si="9"/>
        <v>mar</v>
      </c>
      <c r="F261" s="1" t="str">
        <f t="shared" si="10"/>
        <v>1998</v>
      </c>
      <c r="G261" s="1">
        <v>35887</v>
      </c>
      <c r="H261" s="1">
        <v>35872</v>
      </c>
      <c r="I261">
        <v>1</v>
      </c>
      <c r="J261" t="str">
        <f t="shared" si="11"/>
        <v>UPS</v>
      </c>
      <c r="K261">
        <v>1.36</v>
      </c>
      <c r="L261" t="s">
        <v>664</v>
      </c>
      <c r="M261" t="s">
        <v>269</v>
      </c>
      <c r="N261" t="s">
        <v>270</v>
      </c>
      <c r="P261" t="s">
        <v>665</v>
      </c>
      <c r="Q261" t="s">
        <v>141</v>
      </c>
    </row>
    <row r="262" spans="2:17" customFormat="1" ht="15" hidden="1" x14ac:dyDescent="0.25">
      <c r="B262">
        <v>10303</v>
      </c>
      <c r="C262" t="s">
        <v>273</v>
      </c>
      <c r="D262" s="1">
        <v>35319</v>
      </c>
      <c r="E262" s="1" t="str">
        <f t="shared" si="9"/>
        <v>set</v>
      </c>
      <c r="F262" s="1" t="str">
        <f t="shared" si="10"/>
        <v>1996</v>
      </c>
      <c r="G262" s="1">
        <v>35347</v>
      </c>
      <c r="H262" s="1">
        <v>35326</v>
      </c>
      <c r="I262">
        <v>2</v>
      </c>
      <c r="J262" t="str">
        <f t="shared" si="11"/>
        <v>USPS</v>
      </c>
      <c r="K262">
        <v>107.83</v>
      </c>
      <c r="L262" t="s">
        <v>60</v>
      </c>
      <c r="M262" t="s">
        <v>275</v>
      </c>
      <c r="N262" t="s">
        <v>276</v>
      </c>
      <c r="P262" t="s">
        <v>277</v>
      </c>
      <c r="Q262" t="s">
        <v>141</v>
      </c>
    </row>
    <row r="263" spans="2:17" customFormat="1" ht="15" hidden="1" x14ac:dyDescent="0.25">
      <c r="B263">
        <v>10550</v>
      </c>
      <c r="C263" t="s">
        <v>273</v>
      </c>
      <c r="D263" s="1">
        <v>35578</v>
      </c>
      <c r="E263" s="1" t="str">
        <f t="shared" si="9"/>
        <v>mai</v>
      </c>
      <c r="F263" s="1" t="str">
        <f t="shared" si="10"/>
        <v>1997</v>
      </c>
      <c r="G263" s="1">
        <v>35606</v>
      </c>
      <c r="H263" s="1">
        <v>35587</v>
      </c>
      <c r="I263">
        <v>3</v>
      </c>
      <c r="J263" t="str">
        <f t="shared" si="11"/>
        <v>DHL</v>
      </c>
      <c r="K263">
        <v>4.32</v>
      </c>
      <c r="L263" t="s">
        <v>60</v>
      </c>
      <c r="M263" t="s">
        <v>275</v>
      </c>
      <c r="N263" t="s">
        <v>276</v>
      </c>
      <c r="P263" t="s">
        <v>277</v>
      </c>
      <c r="Q263" t="s">
        <v>141</v>
      </c>
    </row>
    <row r="264" spans="2:17" customFormat="1" ht="15" hidden="1" x14ac:dyDescent="0.25">
      <c r="B264">
        <v>10629</v>
      </c>
      <c r="C264" t="s">
        <v>273</v>
      </c>
      <c r="D264" s="1">
        <v>35654</v>
      </c>
      <c r="E264" s="1" t="str">
        <f t="shared" si="9"/>
        <v>ago</v>
      </c>
      <c r="F264" s="1" t="str">
        <f t="shared" si="10"/>
        <v>1997</v>
      </c>
      <c r="G264" s="1">
        <v>35682</v>
      </c>
      <c r="H264" s="1">
        <v>35662</v>
      </c>
      <c r="I264">
        <v>3</v>
      </c>
      <c r="J264" t="str">
        <f t="shared" si="11"/>
        <v>DHL</v>
      </c>
      <c r="K264">
        <v>85.46</v>
      </c>
      <c r="L264" t="s">
        <v>60</v>
      </c>
      <c r="M264" t="s">
        <v>275</v>
      </c>
      <c r="N264" t="s">
        <v>276</v>
      </c>
      <c r="P264" t="s">
        <v>277</v>
      </c>
      <c r="Q264" t="s">
        <v>141</v>
      </c>
    </row>
    <row r="265" spans="2:17" customFormat="1" ht="15" hidden="1" x14ac:dyDescent="0.25">
      <c r="B265">
        <v>10872</v>
      </c>
      <c r="C265" t="s">
        <v>273</v>
      </c>
      <c r="D265" s="1">
        <v>35831</v>
      </c>
      <c r="E265" s="1" t="str">
        <f t="shared" si="9"/>
        <v>fev</v>
      </c>
      <c r="F265" s="1" t="str">
        <f t="shared" si="10"/>
        <v>1998</v>
      </c>
      <c r="G265" s="1">
        <v>35859</v>
      </c>
      <c r="H265" s="1">
        <v>35835</v>
      </c>
      <c r="I265">
        <v>2</v>
      </c>
      <c r="J265" t="str">
        <f t="shared" si="11"/>
        <v>USPS</v>
      </c>
      <c r="K265">
        <v>175.32</v>
      </c>
      <c r="L265" t="s">
        <v>60</v>
      </c>
      <c r="M265" t="s">
        <v>275</v>
      </c>
      <c r="N265" t="s">
        <v>276</v>
      </c>
      <c r="P265" t="s">
        <v>277</v>
      </c>
      <c r="Q265" t="s">
        <v>141</v>
      </c>
    </row>
    <row r="266" spans="2:17" customFormat="1" ht="15" hidden="1" x14ac:dyDescent="0.25">
      <c r="B266">
        <v>10874</v>
      </c>
      <c r="C266" t="s">
        <v>273</v>
      </c>
      <c r="D266" s="1">
        <v>35832</v>
      </c>
      <c r="E266" s="1" t="str">
        <f t="shared" si="9"/>
        <v>fev</v>
      </c>
      <c r="F266" s="1" t="str">
        <f t="shared" si="10"/>
        <v>1998</v>
      </c>
      <c r="G266" s="1">
        <v>35860</v>
      </c>
      <c r="H266" s="1">
        <v>35837</v>
      </c>
      <c r="I266">
        <v>2</v>
      </c>
      <c r="J266" t="str">
        <f t="shared" si="11"/>
        <v>USPS</v>
      </c>
      <c r="K266">
        <v>19.579999999999998</v>
      </c>
      <c r="L266" t="s">
        <v>60</v>
      </c>
      <c r="M266" t="s">
        <v>275</v>
      </c>
      <c r="N266" t="s">
        <v>276</v>
      </c>
      <c r="P266" t="s">
        <v>277</v>
      </c>
      <c r="Q266" t="s">
        <v>141</v>
      </c>
    </row>
    <row r="267" spans="2:17" customFormat="1" ht="15" hidden="1" x14ac:dyDescent="0.25">
      <c r="B267">
        <v>10888</v>
      </c>
      <c r="C267" t="s">
        <v>273</v>
      </c>
      <c r="D267" s="1">
        <v>35842</v>
      </c>
      <c r="E267" s="1" t="str">
        <f t="shared" si="9"/>
        <v>fev</v>
      </c>
      <c r="F267" s="1" t="str">
        <f t="shared" si="10"/>
        <v>1998</v>
      </c>
      <c r="G267" s="1">
        <v>35870</v>
      </c>
      <c r="H267" s="1">
        <v>35849</v>
      </c>
      <c r="I267">
        <v>2</v>
      </c>
      <c r="J267" t="str">
        <f t="shared" si="11"/>
        <v>USPS</v>
      </c>
      <c r="K267">
        <v>51.87</v>
      </c>
      <c r="L267" t="s">
        <v>60</v>
      </c>
      <c r="M267" t="s">
        <v>275</v>
      </c>
      <c r="N267" t="s">
        <v>276</v>
      </c>
      <c r="P267" t="s">
        <v>277</v>
      </c>
      <c r="Q267" t="s">
        <v>141</v>
      </c>
    </row>
    <row r="268" spans="2:17" customFormat="1" ht="15" hidden="1" x14ac:dyDescent="0.25">
      <c r="B268">
        <v>10911</v>
      </c>
      <c r="C268" t="s">
        <v>273</v>
      </c>
      <c r="D268" s="1">
        <v>35852</v>
      </c>
      <c r="E268" s="1" t="str">
        <f t="shared" si="9"/>
        <v>fev</v>
      </c>
      <c r="F268" s="1" t="str">
        <f t="shared" si="10"/>
        <v>1998</v>
      </c>
      <c r="G268" s="1">
        <v>35880</v>
      </c>
      <c r="H268" s="1">
        <v>35859</v>
      </c>
      <c r="I268">
        <v>1</v>
      </c>
      <c r="J268" t="str">
        <f t="shared" si="11"/>
        <v>UPS</v>
      </c>
      <c r="K268">
        <v>38.19</v>
      </c>
      <c r="L268" t="s">
        <v>60</v>
      </c>
      <c r="M268" t="s">
        <v>275</v>
      </c>
      <c r="N268" t="s">
        <v>276</v>
      </c>
      <c r="P268" t="s">
        <v>277</v>
      </c>
      <c r="Q268" t="s">
        <v>141</v>
      </c>
    </row>
    <row r="269" spans="2:17" customFormat="1" ht="15" hidden="1" x14ac:dyDescent="0.25">
      <c r="B269">
        <v>10948</v>
      </c>
      <c r="C269" t="s">
        <v>273</v>
      </c>
      <c r="D269" s="1">
        <v>35867</v>
      </c>
      <c r="E269" s="1" t="str">
        <f t="shared" si="9"/>
        <v>mar</v>
      </c>
      <c r="F269" s="1" t="str">
        <f t="shared" si="10"/>
        <v>1998</v>
      </c>
      <c r="G269" s="1">
        <v>35895</v>
      </c>
      <c r="H269" s="1">
        <v>35873</v>
      </c>
      <c r="I269">
        <v>3</v>
      </c>
      <c r="J269" t="str">
        <f t="shared" si="11"/>
        <v>DHL</v>
      </c>
      <c r="K269">
        <v>23.39</v>
      </c>
      <c r="L269" t="s">
        <v>60</v>
      </c>
      <c r="M269" t="s">
        <v>275</v>
      </c>
      <c r="N269" t="s">
        <v>276</v>
      </c>
      <c r="P269" t="s">
        <v>277</v>
      </c>
      <c r="Q269" t="s">
        <v>141</v>
      </c>
    </row>
    <row r="270" spans="2:17" customFormat="1" ht="15" hidden="1" x14ac:dyDescent="0.25">
      <c r="B270">
        <v>11009</v>
      </c>
      <c r="C270" t="s">
        <v>273</v>
      </c>
      <c r="D270" s="1">
        <v>35893</v>
      </c>
      <c r="E270" s="1" t="str">
        <f t="shared" ref="E270:E333" si="12">TEXT(D270,"mmm")</f>
        <v>abr</v>
      </c>
      <c r="F270" s="1" t="str">
        <f t="shared" ref="F270:F333" si="13">TEXT(D270,"aaa")</f>
        <v>1998</v>
      </c>
      <c r="G270" s="1">
        <v>35921</v>
      </c>
      <c r="H270" s="1">
        <v>35895</v>
      </c>
      <c r="I270">
        <v>1</v>
      </c>
      <c r="J270" t="str">
        <f t="shared" ref="J270:J333" si="14">CHOOSE(I270,"UPS","USPS","DHL")</f>
        <v>UPS</v>
      </c>
      <c r="K270">
        <v>59.11</v>
      </c>
      <c r="L270" t="s">
        <v>60</v>
      </c>
      <c r="M270" t="s">
        <v>275</v>
      </c>
      <c r="N270" t="s">
        <v>276</v>
      </c>
      <c r="P270" t="s">
        <v>277</v>
      </c>
      <c r="Q270" t="s">
        <v>141</v>
      </c>
    </row>
    <row r="271" spans="2:17" customFormat="1" ht="15" hidden="1" x14ac:dyDescent="0.25">
      <c r="B271">
        <v>11037</v>
      </c>
      <c r="C271" t="s">
        <v>273</v>
      </c>
      <c r="D271" s="1">
        <v>35906</v>
      </c>
      <c r="E271" s="1" t="str">
        <f t="shared" si="12"/>
        <v>abr</v>
      </c>
      <c r="F271" s="1" t="str">
        <f t="shared" si="13"/>
        <v>1998</v>
      </c>
      <c r="G271" s="1">
        <v>35934</v>
      </c>
      <c r="H271" s="1">
        <v>35912</v>
      </c>
      <c r="I271">
        <v>1</v>
      </c>
      <c r="J271" t="str">
        <f t="shared" si="14"/>
        <v>UPS</v>
      </c>
      <c r="K271">
        <v>3.2</v>
      </c>
      <c r="L271" t="s">
        <v>60</v>
      </c>
      <c r="M271" t="s">
        <v>275</v>
      </c>
      <c r="N271" t="s">
        <v>276</v>
      </c>
      <c r="P271" t="s">
        <v>277</v>
      </c>
      <c r="Q271" t="s">
        <v>141</v>
      </c>
    </row>
    <row r="272" spans="2:17" customFormat="1" ht="15" hidden="1" x14ac:dyDescent="0.25">
      <c r="B272">
        <v>10423</v>
      </c>
      <c r="C272" t="s">
        <v>279</v>
      </c>
      <c r="D272" s="1">
        <v>35453</v>
      </c>
      <c r="E272" s="1" t="str">
        <f t="shared" si="12"/>
        <v>jan</v>
      </c>
      <c r="F272" s="1" t="str">
        <f t="shared" si="13"/>
        <v>1997</v>
      </c>
      <c r="G272" s="1">
        <v>35467</v>
      </c>
      <c r="H272" s="1">
        <v>35485</v>
      </c>
      <c r="I272">
        <v>3</v>
      </c>
      <c r="J272" t="str">
        <f t="shared" si="14"/>
        <v>DHL</v>
      </c>
      <c r="K272">
        <v>24.5</v>
      </c>
      <c r="L272" t="s">
        <v>59</v>
      </c>
      <c r="M272" t="s">
        <v>281</v>
      </c>
      <c r="N272" t="s">
        <v>282</v>
      </c>
      <c r="O272" t="s">
        <v>187</v>
      </c>
      <c r="P272" t="s">
        <v>283</v>
      </c>
      <c r="Q272" t="s">
        <v>189</v>
      </c>
    </row>
    <row r="273" spans="2:17" customFormat="1" ht="15" hidden="1" x14ac:dyDescent="0.25">
      <c r="B273">
        <v>10652</v>
      </c>
      <c r="C273" t="s">
        <v>279</v>
      </c>
      <c r="D273" s="1">
        <v>35674</v>
      </c>
      <c r="E273" s="1" t="str">
        <f t="shared" si="12"/>
        <v>set</v>
      </c>
      <c r="F273" s="1" t="str">
        <f t="shared" si="13"/>
        <v>1997</v>
      </c>
      <c r="G273" s="1">
        <v>35702</v>
      </c>
      <c r="H273" s="1">
        <v>35681</v>
      </c>
      <c r="I273">
        <v>2</v>
      </c>
      <c r="J273" t="str">
        <f t="shared" si="14"/>
        <v>USPS</v>
      </c>
      <c r="K273">
        <v>7.14</v>
      </c>
      <c r="L273" t="s">
        <v>59</v>
      </c>
      <c r="M273" t="s">
        <v>281</v>
      </c>
      <c r="N273" t="s">
        <v>282</v>
      </c>
      <c r="O273" t="s">
        <v>187</v>
      </c>
      <c r="P273" t="s">
        <v>283</v>
      </c>
      <c r="Q273" t="s">
        <v>189</v>
      </c>
    </row>
    <row r="274" spans="2:17" customFormat="1" ht="15" hidden="1" x14ac:dyDescent="0.25">
      <c r="B274">
        <v>10685</v>
      </c>
      <c r="C274" t="s">
        <v>279</v>
      </c>
      <c r="D274" s="1">
        <v>35702</v>
      </c>
      <c r="E274" s="1" t="str">
        <f t="shared" si="12"/>
        <v>set</v>
      </c>
      <c r="F274" s="1" t="str">
        <f t="shared" si="13"/>
        <v>1997</v>
      </c>
      <c r="G274" s="1">
        <v>35716</v>
      </c>
      <c r="H274" s="1">
        <v>35706</v>
      </c>
      <c r="I274">
        <v>2</v>
      </c>
      <c r="J274" t="str">
        <f t="shared" si="14"/>
        <v>USPS</v>
      </c>
      <c r="K274">
        <v>33.75</v>
      </c>
      <c r="L274" t="s">
        <v>59</v>
      </c>
      <c r="M274" t="s">
        <v>281</v>
      </c>
      <c r="N274" t="s">
        <v>282</v>
      </c>
      <c r="O274" t="s">
        <v>187</v>
      </c>
      <c r="P274" t="s">
        <v>283</v>
      </c>
      <c r="Q274" t="s">
        <v>189</v>
      </c>
    </row>
    <row r="275" spans="2:17" customFormat="1" ht="15" hidden="1" x14ac:dyDescent="0.25">
      <c r="B275">
        <v>10709</v>
      </c>
      <c r="C275" t="s">
        <v>279</v>
      </c>
      <c r="D275" s="1">
        <v>35720</v>
      </c>
      <c r="E275" s="1" t="str">
        <f t="shared" si="12"/>
        <v>out</v>
      </c>
      <c r="F275" s="1" t="str">
        <f t="shared" si="13"/>
        <v>1997</v>
      </c>
      <c r="G275" s="1">
        <v>35748</v>
      </c>
      <c r="H275" s="1">
        <v>35754</v>
      </c>
      <c r="I275">
        <v>3</v>
      </c>
      <c r="J275" t="str">
        <f t="shared" si="14"/>
        <v>DHL</v>
      </c>
      <c r="K275">
        <v>210.8</v>
      </c>
      <c r="L275" t="s">
        <v>59</v>
      </c>
      <c r="M275" t="s">
        <v>281</v>
      </c>
      <c r="N275" t="s">
        <v>282</v>
      </c>
      <c r="O275" t="s">
        <v>187</v>
      </c>
      <c r="P275" t="s">
        <v>283</v>
      </c>
      <c r="Q275" t="s">
        <v>189</v>
      </c>
    </row>
    <row r="276" spans="2:17" customFormat="1" ht="15" hidden="1" x14ac:dyDescent="0.25">
      <c r="B276">
        <v>10734</v>
      </c>
      <c r="C276" t="s">
        <v>279</v>
      </c>
      <c r="D276" s="1">
        <v>35741</v>
      </c>
      <c r="E276" s="1" t="str">
        <f t="shared" si="12"/>
        <v>nov</v>
      </c>
      <c r="F276" s="1" t="str">
        <f t="shared" si="13"/>
        <v>1997</v>
      </c>
      <c r="G276" s="1">
        <v>35769</v>
      </c>
      <c r="H276" s="1">
        <v>35746</v>
      </c>
      <c r="I276">
        <v>3</v>
      </c>
      <c r="J276" t="str">
        <f t="shared" si="14"/>
        <v>DHL</v>
      </c>
      <c r="K276">
        <v>1.63</v>
      </c>
      <c r="L276" t="s">
        <v>59</v>
      </c>
      <c r="M276" t="s">
        <v>281</v>
      </c>
      <c r="N276" t="s">
        <v>282</v>
      </c>
      <c r="O276" t="s">
        <v>187</v>
      </c>
      <c r="P276" t="s">
        <v>283</v>
      </c>
      <c r="Q276" t="s">
        <v>189</v>
      </c>
    </row>
    <row r="277" spans="2:17" customFormat="1" ht="15" hidden="1" x14ac:dyDescent="0.25">
      <c r="B277">
        <v>10777</v>
      </c>
      <c r="C277" t="s">
        <v>279</v>
      </c>
      <c r="D277" s="1">
        <v>35779</v>
      </c>
      <c r="E277" s="1" t="str">
        <f t="shared" si="12"/>
        <v>dez</v>
      </c>
      <c r="F277" s="1" t="str">
        <f t="shared" si="13"/>
        <v>1997</v>
      </c>
      <c r="G277" s="1">
        <v>35793</v>
      </c>
      <c r="H277" s="1">
        <v>35816</v>
      </c>
      <c r="I277">
        <v>2</v>
      </c>
      <c r="J277" t="str">
        <f t="shared" si="14"/>
        <v>USPS</v>
      </c>
      <c r="K277">
        <v>3.01</v>
      </c>
      <c r="L277" t="s">
        <v>59</v>
      </c>
      <c r="M277" t="s">
        <v>281</v>
      </c>
      <c r="N277" t="s">
        <v>282</v>
      </c>
      <c r="O277" t="s">
        <v>187</v>
      </c>
      <c r="P277" t="s">
        <v>283</v>
      </c>
      <c r="Q277" t="s">
        <v>189</v>
      </c>
    </row>
    <row r="278" spans="2:17" customFormat="1" ht="15" hidden="1" x14ac:dyDescent="0.25">
      <c r="B278">
        <v>10790</v>
      </c>
      <c r="C278" t="s">
        <v>279</v>
      </c>
      <c r="D278" s="1">
        <v>35786</v>
      </c>
      <c r="E278" s="1" t="str">
        <f t="shared" si="12"/>
        <v>dez</v>
      </c>
      <c r="F278" s="1" t="str">
        <f t="shared" si="13"/>
        <v>1997</v>
      </c>
      <c r="G278" s="1">
        <v>35814</v>
      </c>
      <c r="H278" s="1">
        <v>35790</v>
      </c>
      <c r="I278">
        <v>1</v>
      </c>
      <c r="J278" t="str">
        <f t="shared" si="14"/>
        <v>UPS</v>
      </c>
      <c r="K278">
        <v>28.23</v>
      </c>
      <c r="L278" t="s">
        <v>59</v>
      </c>
      <c r="M278" t="s">
        <v>281</v>
      </c>
      <c r="N278" t="s">
        <v>282</v>
      </c>
      <c r="O278" t="s">
        <v>187</v>
      </c>
      <c r="P278" t="s">
        <v>283</v>
      </c>
      <c r="Q278" t="s">
        <v>189</v>
      </c>
    </row>
    <row r="279" spans="2:17" customFormat="1" ht="15" hidden="1" x14ac:dyDescent="0.25">
      <c r="B279">
        <v>10959</v>
      </c>
      <c r="C279" t="s">
        <v>279</v>
      </c>
      <c r="D279" s="1">
        <v>35872</v>
      </c>
      <c r="E279" s="1" t="str">
        <f t="shared" si="12"/>
        <v>mar</v>
      </c>
      <c r="F279" s="1" t="str">
        <f t="shared" si="13"/>
        <v>1998</v>
      </c>
      <c r="G279" s="1">
        <v>35914</v>
      </c>
      <c r="H279" s="1">
        <v>35877</v>
      </c>
      <c r="I279">
        <v>2</v>
      </c>
      <c r="J279" t="str">
        <f t="shared" si="14"/>
        <v>USPS</v>
      </c>
      <c r="K279">
        <v>4.9800000000000004</v>
      </c>
      <c r="L279" t="s">
        <v>59</v>
      </c>
      <c r="M279" t="s">
        <v>281</v>
      </c>
      <c r="N279" t="s">
        <v>282</v>
      </c>
      <c r="O279" t="s">
        <v>187</v>
      </c>
      <c r="P279" t="s">
        <v>283</v>
      </c>
      <c r="Q279" t="s">
        <v>189</v>
      </c>
    </row>
    <row r="280" spans="2:17" customFormat="1" ht="15" hidden="1" x14ac:dyDescent="0.25">
      <c r="B280">
        <v>11049</v>
      </c>
      <c r="C280" t="s">
        <v>279</v>
      </c>
      <c r="D280" s="1">
        <v>35909</v>
      </c>
      <c r="E280" s="1" t="str">
        <f t="shared" si="12"/>
        <v>abr</v>
      </c>
      <c r="F280" s="1" t="str">
        <f t="shared" si="13"/>
        <v>1998</v>
      </c>
      <c r="G280" s="1">
        <v>35937</v>
      </c>
      <c r="H280" s="1">
        <v>35919</v>
      </c>
      <c r="I280">
        <v>1</v>
      </c>
      <c r="J280" t="str">
        <f t="shared" si="14"/>
        <v>UPS</v>
      </c>
      <c r="K280">
        <v>8.34</v>
      </c>
      <c r="L280" t="s">
        <v>59</v>
      </c>
      <c r="M280" t="s">
        <v>281</v>
      </c>
      <c r="N280" t="s">
        <v>282</v>
      </c>
      <c r="O280" t="s">
        <v>187</v>
      </c>
      <c r="P280" t="s">
        <v>283</v>
      </c>
      <c r="Q280" t="s">
        <v>189</v>
      </c>
    </row>
    <row r="281" spans="2:17" customFormat="1" ht="15" hidden="1" x14ac:dyDescent="0.25">
      <c r="B281">
        <v>10528</v>
      </c>
      <c r="C281" t="s">
        <v>285</v>
      </c>
      <c r="D281" s="1">
        <v>35556</v>
      </c>
      <c r="E281" s="1" t="str">
        <f t="shared" si="12"/>
        <v>mai</v>
      </c>
      <c r="F281" s="1" t="str">
        <f t="shared" si="13"/>
        <v>1997</v>
      </c>
      <c r="G281" s="1">
        <v>35570</v>
      </c>
      <c r="H281" s="1">
        <v>35559</v>
      </c>
      <c r="I281">
        <v>2</v>
      </c>
      <c r="J281" t="str">
        <f t="shared" si="14"/>
        <v>USPS</v>
      </c>
      <c r="K281">
        <v>3.35</v>
      </c>
      <c r="L281" t="s">
        <v>58</v>
      </c>
      <c r="M281" t="s">
        <v>286</v>
      </c>
      <c r="N281" t="s">
        <v>287</v>
      </c>
      <c r="O281" t="s">
        <v>288</v>
      </c>
      <c r="P281" t="s">
        <v>289</v>
      </c>
      <c r="Q281" t="s">
        <v>290</v>
      </c>
    </row>
    <row r="282" spans="2:17" customFormat="1" ht="15" hidden="1" x14ac:dyDescent="0.25">
      <c r="B282">
        <v>10589</v>
      </c>
      <c r="C282" t="s">
        <v>285</v>
      </c>
      <c r="D282" s="1">
        <v>35615</v>
      </c>
      <c r="E282" s="1" t="str">
        <f t="shared" si="12"/>
        <v>jul</v>
      </c>
      <c r="F282" s="1" t="str">
        <f t="shared" si="13"/>
        <v>1997</v>
      </c>
      <c r="G282" s="1">
        <v>35643</v>
      </c>
      <c r="H282" s="1">
        <v>35625</v>
      </c>
      <c r="I282">
        <v>2</v>
      </c>
      <c r="J282" t="str">
        <f t="shared" si="14"/>
        <v>USPS</v>
      </c>
      <c r="K282">
        <v>4.42</v>
      </c>
      <c r="L282" t="s">
        <v>58</v>
      </c>
      <c r="M282" t="s">
        <v>286</v>
      </c>
      <c r="N282" t="s">
        <v>287</v>
      </c>
      <c r="O282" t="s">
        <v>288</v>
      </c>
      <c r="P282" t="s">
        <v>289</v>
      </c>
      <c r="Q282" t="s">
        <v>290</v>
      </c>
    </row>
    <row r="283" spans="2:17" customFormat="1" ht="15" hidden="1" x14ac:dyDescent="0.25">
      <c r="B283">
        <v>10616</v>
      </c>
      <c r="C283" t="s">
        <v>285</v>
      </c>
      <c r="D283" s="1">
        <v>35642</v>
      </c>
      <c r="E283" s="1" t="str">
        <f t="shared" si="12"/>
        <v>jul</v>
      </c>
      <c r="F283" s="1" t="str">
        <f t="shared" si="13"/>
        <v>1997</v>
      </c>
      <c r="G283" s="1">
        <v>35670</v>
      </c>
      <c r="H283" s="1">
        <v>35647</v>
      </c>
      <c r="I283">
        <v>2</v>
      </c>
      <c r="J283" t="str">
        <f t="shared" si="14"/>
        <v>USPS</v>
      </c>
      <c r="K283">
        <v>116.53</v>
      </c>
      <c r="L283" t="s">
        <v>58</v>
      </c>
      <c r="M283" t="s">
        <v>286</v>
      </c>
      <c r="N283" t="s">
        <v>287</v>
      </c>
      <c r="O283" t="s">
        <v>288</v>
      </c>
      <c r="P283" t="s">
        <v>289</v>
      </c>
      <c r="Q283" t="s">
        <v>290</v>
      </c>
    </row>
    <row r="284" spans="2:17" customFormat="1" ht="15" hidden="1" x14ac:dyDescent="0.25">
      <c r="B284">
        <v>10617</v>
      </c>
      <c r="C284" t="s">
        <v>285</v>
      </c>
      <c r="D284" s="1">
        <v>35642</v>
      </c>
      <c r="E284" s="1" t="str">
        <f t="shared" si="12"/>
        <v>jul</v>
      </c>
      <c r="F284" s="1" t="str">
        <f t="shared" si="13"/>
        <v>1997</v>
      </c>
      <c r="G284" s="1">
        <v>35670</v>
      </c>
      <c r="H284" s="1">
        <v>35646</v>
      </c>
      <c r="I284">
        <v>2</v>
      </c>
      <c r="J284" t="str">
        <f t="shared" si="14"/>
        <v>USPS</v>
      </c>
      <c r="K284">
        <v>18.53</v>
      </c>
      <c r="L284" t="s">
        <v>58</v>
      </c>
      <c r="M284" t="s">
        <v>286</v>
      </c>
      <c r="N284" t="s">
        <v>287</v>
      </c>
      <c r="O284" t="s">
        <v>288</v>
      </c>
      <c r="P284" t="s">
        <v>289</v>
      </c>
      <c r="Q284" t="s">
        <v>290</v>
      </c>
    </row>
    <row r="285" spans="2:17" customFormat="1" ht="15" hidden="1" x14ac:dyDescent="0.25">
      <c r="B285">
        <v>10656</v>
      </c>
      <c r="C285" t="s">
        <v>285</v>
      </c>
      <c r="D285" s="1">
        <v>35677</v>
      </c>
      <c r="E285" s="1" t="str">
        <f t="shared" si="12"/>
        <v>set</v>
      </c>
      <c r="F285" s="1" t="str">
        <f t="shared" si="13"/>
        <v>1997</v>
      </c>
      <c r="G285" s="1">
        <v>35705</v>
      </c>
      <c r="H285" s="1">
        <v>35683</v>
      </c>
      <c r="I285">
        <v>1</v>
      </c>
      <c r="J285" t="str">
        <f t="shared" si="14"/>
        <v>UPS</v>
      </c>
      <c r="K285">
        <v>57.15</v>
      </c>
      <c r="L285" t="s">
        <v>58</v>
      </c>
      <c r="M285" t="s">
        <v>286</v>
      </c>
      <c r="N285" t="s">
        <v>287</v>
      </c>
      <c r="O285" t="s">
        <v>288</v>
      </c>
      <c r="P285" t="s">
        <v>289</v>
      </c>
      <c r="Q285" t="s">
        <v>290</v>
      </c>
    </row>
    <row r="286" spans="2:17" customFormat="1" ht="15" hidden="1" x14ac:dyDescent="0.25">
      <c r="B286">
        <v>10681</v>
      </c>
      <c r="C286" t="s">
        <v>285</v>
      </c>
      <c r="D286" s="1">
        <v>35698</v>
      </c>
      <c r="E286" s="1" t="str">
        <f t="shared" si="12"/>
        <v>set</v>
      </c>
      <c r="F286" s="1" t="str">
        <f t="shared" si="13"/>
        <v>1997</v>
      </c>
      <c r="G286" s="1">
        <v>35726</v>
      </c>
      <c r="H286" s="1">
        <v>35703</v>
      </c>
      <c r="I286">
        <v>3</v>
      </c>
      <c r="J286" t="str">
        <f t="shared" si="14"/>
        <v>DHL</v>
      </c>
      <c r="K286">
        <v>76.13</v>
      </c>
      <c r="L286" t="s">
        <v>58</v>
      </c>
      <c r="M286" t="s">
        <v>286</v>
      </c>
      <c r="N286" t="s">
        <v>287</v>
      </c>
      <c r="O286" t="s">
        <v>288</v>
      </c>
      <c r="P286" t="s">
        <v>289</v>
      </c>
      <c r="Q286" t="s">
        <v>290</v>
      </c>
    </row>
    <row r="287" spans="2:17" customFormat="1" ht="15" hidden="1" x14ac:dyDescent="0.25">
      <c r="B287">
        <v>10816</v>
      </c>
      <c r="C287" t="s">
        <v>285</v>
      </c>
      <c r="D287" s="1">
        <v>35801</v>
      </c>
      <c r="E287" s="1" t="str">
        <f t="shared" si="12"/>
        <v>jan</v>
      </c>
      <c r="F287" s="1" t="str">
        <f t="shared" si="13"/>
        <v>1998</v>
      </c>
      <c r="G287" s="1">
        <v>35829</v>
      </c>
      <c r="H287" s="1">
        <v>35830</v>
      </c>
      <c r="I287">
        <v>2</v>
      </c>
      <c r="J287" t="str">
        <f t="shared" si="14"/>
        <v>USPS</v>
      </c>
      <c r="K287">
        <v>719.78</v>
      </c>
      <c r="L287" t="s">
        <v>58</v>
      </c>
      <c r="M287" t="s">
        <v>286</v>
      </c>
      <c r="N287" t="s">
        <v>287</v>
      </c>
      <c r="O287" t="s">
        <v>288</v>
      </c>
      <c r="P287" t="s">
        <v>289</v>
      </c>
      <c r="Q287" t="s">
        <v>290</v>
      </c>
    </row>
    <row r="288" spans="2:17" customFormat="1" ht="15" hidden="1" x14ac:dyDescent="0.25">
      <c r="B288">
        <v>10936</v>
      </c>
      <c r="C288" t="s">
        <v>285</v>
      </c>
      <c r="D288" s="1">
        <v>35863</v>
      </c>
      <c r="E288" s="1" t="str">
        <f t="shared" si="12"/>
        <v>mar</v>
      </c>
      <c r="F288" s="1" t="str">
        <f t="shared" si="13"/>
        <v>1998</v>
      </c>
      <c r="G288" s="1">
        <v>35891</v>
      </c>
      <c r="H288" s="1">
        <v>35872</v>
      </c>
      <c r="I288">
        <v>2</v>
      </c>
      <c r="J288" t="str">
        <f t="shared" si="14"/>
        <v>USPS</v>
      </c>
      <c r="K288">
        <v>33.68</v>
      </c>
      <c r="L288" t="s">
        <v>58</v>
      </c>
      <c r="M288" t="s">
        <v>286</v>
      </c>
      <c r="N288" t="s">
        <v>287</v>
      </c>
      <c r="O288" t="s">
        <v>288</v>
      </c>
      <c r="P288" t="s">
        <v>289</v>
      </c>
      <c r="Q288" t="s">
        <v>290</v>
      </c>
    </row>
    <row r="289" spans="2:17" customFormat="1" ht="15" hidden="1" x14ac:dyDescent="0.25">
      <c r="B289">
        <v>11006</v>
      </c>
      <c r="C289" t="s">
        <v>285</v>
      </c>
      <c r="D289" s="1">
        <v>35892</v>
      </c>
      <c r="E289" s="1" t="str">
        <f t="shared" si="12"/>
        <v>abr</v>
      </c>
      <c r="F289" s="1" t="str">
        <f t="shared" si="13"/>
        <v>1998</v>
      </c>
      <c r="G289" s="1">
        <v>35920</v>
      </c>
      <c r="H289" s="1">
        <v>35900</v>
      </c>
      <c r="I289">
        <v>2</v>
      </c>
      <c r="J289" t="str">
        <f t="shared" si="14"/>
        <v>USPS</v>
      </c>
      <c r="K289">
        <v>25.19</v>
      </c>
      <c r="L289" t="s">
        <v>58</v>
      </c>
      <c r="M289" t="s">
        <v>286</v>
      </c>
      <c r="N289" t="s">
        <v>287</v>
      </c>
      <c r="O289" t="s">
        <v>288</v>
      </c>
      <c r="P289" t="s">
        <v>289</v>
      </c>
      <c r="Q289" t="s">
        <v>290</v>
      </c>
    </row>
    <row r="290" spans="2:17" customFormat="1" ht="15" hidden="1" x14ac:dyDescent="0.25">
      <c r="B290">
        <v>11040</v>
      </c>
      <c r="C290" t="s">
        <v>285</v>
      </c>
      <c r="D290" s="1">
        <v>35907</v>
      </c>
      <c r="E290" s="1" t="str">
        <f t="shared" si="12"/>
        <v>abr</v>
      </c>
      <c r="F290" s="1" t="str">
        <f t="shared" si="13"/>
        <v>1998</v>
      </c>
      <c r="G290" s="1">
        <v>35935</v>
      </c>
      <c r="H290" s="1"/>
      <c r="I290">
        <v>3</v>
      </c>
      <c r="J290" t="str">
        <f t="shared" si="14"/>
        <v>DHL</v>
      </c>
      <c r="K290">
        <v>18.84</v>
      </c>
      <c r="L290" t="s">
        <v>58</v>
      </c>
      <c r="M290" t="s">
        <v>286</v>
      </c>
      <c r="N290" t="s">
        <v>287</v>
      </c>
      <c r="O290" t="s">
        <v>288</v>
      </c>
      <c r="P290" t="s">
        <v>289</v>
      </c>
      <c r="Q290" t="s">
        <v>290</v>
      </c>
    </row>
    <row r="291" spans="2:17" customFormat="1" ht="15" hidden="1" x14ac:dyDescent="0.25">
      <c r="B291">
        <v>11061</v>
      </c>
      <c r="C291" t="s">
        <v>285</v>
      </c>
      <c r="D291" s="1">
        <v>35915</v>
      </c>
      <c r="E291" s="1" t="str">
        <f t="shared" si="12"/>
        <v>abr</v>
      </c>
      <c r="F291" s="1" t="str">
        <f t="shared" si="13"/>
        <v>1998</v>
      </c>
      <c r="G291" s="1">
        <v>35957</v>
      </c>
      <c r="H291" s="1"/>
      <c r="I291">
        <v>3</v>
      </c>
      <c r="J291" t="str">
        <f t="shared" si="14"/>
        <v>DHL</v>
      </c>
      <c r="K291">
        <v>14.01</v>
      </c>
      <c r="L291" t="s">
        <v>58</v>
      </c>
      <c r="M291" t="s">
        <v>286</v>
      </c>
      <c r="N291" t="s">
        <v>287</v>
      </c>
      <c r="O291" t="s">
        <v>288</v>
      </c>
      <c r="P291" t="s">
        <v>289</v>
      </c>
      <c r="Q291" t="s">
        <v>290</v>
      </c>
    </row>
    <row r="292" spans="2:17" customFormat="1" ht="15" hidden="1" x14ac:dyDescent="0.25">
      <c r="B292">
        <v>10268</v>
      </c>
      <c r="C292" t="s">
        <v>292</v>
      </c>
      <c r="D292" s="1">
        <v>35276</v>
      </c>
      <c r="E292" s="1" t="str">
        <f t="shared" si="12"/>
        <v>jul</v>
      </c>
      <c r="F292" s="1" t="str">
        <f t="shared" si="13"/>
        <v>1996</v>
      </c>
      <c r="G292" s="1">
        <v>35304</v>
      </c>
      <c r="H292" s="1">
        <v>35279</v>
      </c>
      <c r="I292">
        <v>3</v>
      </c>
      <c r="J292" t="str">
        <f t="shared" si="14"/>
        <v>DHL</v>
      </c>
      <c r="K292">
        <v>66.290000000000006</v>
      </c>
      <c r="L292" t="s">
        <v>57</v>
      </c>
      <c r="M292" t="s">
        <v>294</v>
      </c>
      <c r="N292" t="s">
        <v>295</v>
      </c>
      <c r="O292" t="s">
        <v>296</v>
      </c>
      <c r="P292" t="s">
        <v>297</v>
      </c>
      <c r="Q292" t="s">
        <v>298</v>
      </c>
    </row>
    <row r="293" spans="2:17" customFormat="1" ht="15" hidden="1" x14ac:dyDescent="0.25">
      <c r="B293">
        <v>10785</v>
      </c>
      <c r="C293" t="s">
        <v>292</v>
      </c>
      <c r="D293" s="1">
        <v>35782</v>
      </c>
      <c r="E293" s="1" t="str">
        <f t="shared" si="12"/>
        <v>dez</v>
      </c>
      <c r="F293" s="1" t="str">
        <f t="shared" si="13"/>
        <v>1997</v>
      </c>
      <c r="G293" s="1">
        <v>35810</v>
      </c>
      <c r="H293" s="1">
        <v>35788</v>
      </c>
      <c r="I293">
        <v>3</v>
      </c>
      <c r="J293" t="str">
        <f t="shared" si="14"/>
        <v>DHL</v>
      </c>
      <c r="K293">
        <v>1.51</v>
      </c>
      <c r="L293" t="s">
        <v>57</v>
      </c>
      <c r="M293" t="s">
        <v>294</v>
      </c>
      <c r="N293" t="s">
        <v>295</v>
      </c>
      <c r="O293" t="s">
        <v>296</v>
      </c>
      <c r="P293" t="s">
        <v>297</v>
      </c>
      <c r="Q293" t="s">
        <v>298</v>
      </c>
    </row>
    <row r="294" spans="2:17" customFormat="1" ht="15" hidden="1" x14ac:dyDescent="0.25">
      <c r="B294">
        <v>10250</v>
      </c>
      <c r="C294" t="s">
        <v>300</v>
      </c>
      <c r="D294" s="1">
        <v>35254</v>
      </c>
      <c r="E294" s="1" t="str">
        <f t="shared" si="12"/>
        <v>jul</v>
      </c>
      <c r="F294" s="1" t="str">
        <f t="shared" si="13"/>
        <v>1996</v>
      </c>
      <c r="G294" s="1">
        <v>35282</v>
      </c>
      <c r="H294" s="1">
        <v>35258</v>
      </c>
      <c r="I294">
        <v>2</v>
      </c>
      <c r="J294" t="str">
        <f t="shared" si="14"/>
        <v>USPS</v>
      </c>
      <c r="K294">
        <v>65.83</v>
      </c>
      <c r="L294" t="s">
        <v>56</v>
      </c>
      <c r="M294" t="s">
        <v>302</v>
      </c>
      <c r="N294" t="s">
        <v>303</v>
      </c>
      <c r="O294" t="s">
        <v>304</v>
      </c>
      <c r="P294" t="s">
        <v>305</v>
      </c>
      <c r="Q294" t="s">
        <v>189</v>
      </c>
    </row>
    <row r="295" spans="2:17" customFormat="1" ht="15" hidden="1" x14ac:dyDescent="0.25">
      <c r="B295">
        <v>10253</v>
      </c>
      <c r="C295" t="s">
        <v>300</v>
      </c>
      <c r="D295" s="1">
        <v>35256</v>
      </c>
      <c r="E295" s="1" t="str">
        <f t="shared" si="12"/>
        <v>jul</v>
      </c>
      <c r="F295" s="1" t="str">
        <f t="shared" si="13"/>
        <v>1996</v>
      </c>
      <c r="G295" s="1">
        <v>35270</v>
      </c>
      <c r="H295" s="1">
        <v>35262</v>
      </c>
      <c r="I295">
        <v>2</v>
      </c>
      <c r="J295" t="str">
        <f t="shared" si="14"/>
        <v>USPS</v>
      </c>
      <c r="K295">
        <v>58.17</v>
      </c>
      <c r="L295" t="s">
        <v>56</v>
      </c>
      <c r="M295" t="s">
        <v>302</v>
      </c>
      <c r="N295" t="s">
        <v>303</v>
      </c>
      <c r="O295" t="s">
        <v>304</v>
      </c>
      <c r="P295" t="s">
        <v>305</v>
      </c>
      <c r="Q295" t="s">
        <v>189</v>
      </c>
    </row>
    <row r="296" spans="2:17" customFormat="1" ht="15" hidden="1" x14ac:dyDescent="0.25">
      <c r="B296">
        <v>10541</v>
      </c>
      <c r="C296" t="s">
        <v>300</v>
      </c>
      <c r="D296" s="1">
        <v>35569</v>
      </c>
      <c r="E296" s="1" t="str">
        <f t="shared" si="12"/>
        <v>mai</v>
      </c>
      <c r="F296" s="1" t="str">
        <f t="shared" si="13"/>
        <v>1997</v>
      </c>
      <c r="G296" s="1">
        <v>35597</v>
      </c>
      <c r="H296" s="1">
        <v>35579</v>
      </c>
      <c r="I296">
        <v>1</v>
      </c>
      <c r="J296" t="str">
        <f t="shared" si="14"/>
        <v>UPS</v>
      </c>
      <c r="K296">
        <v>68.650000000000006</v>
      </c>
      <c r="L296" t="s">
        <v>56</v>
      </c>
      <c r="M296" t="s">
        <v>302</v>
      </c>
      <c r="N296" t="s">
        <v>303</v>
      </c>
      <c r="O296" t="s">
        <v>304</v>
      </c>
      <c r="P296" t="s">
        <v>305</v>
      </c>
      <c r="Q296" t="s">
        <v>189</v>
      </c>
    </row>
    <row r="297" spans="2:17" customFormat="1" ht="15" hidden="1" x14ac:dyDescent="0.25">
      <c r="B297">
        <v>10645</v>
      </c>
      <c r="C297" t="s">
        <v>300</v>
      </c>
      <c r="D297" s="1">
        <v>35668</v>
      </c>
      <c r="E297" s="1" t="str">
        <f t="shared" si="12"/>
        <v>ago</v>
      </c>
      <c r="F297" s="1" t="str">
        <f t="shared" si="13"/>
        <v>1997</v>
      </c>
      <c r="G297" s="1">
        <v>35696</v>
      </c>
      <c r="H297" s="1">
        <v>35675</v>
      </c>
      <c r="I297">
        <v>1</v>
      </c>
      <c r="J297" t="str">
        <f t="shared" si="14"/>
        <v>UPS</v>
      </c>
      <c r="K297">
        <v>12.41</v>
      </c>
      <c r="L297" t="s">
        <v>56</v>
      </c>
      <c r="M297" t="s">
        <v>302</v>
      </c>
      <c r="N297" t="s">
        <v>303</v>
      </c>
      <c r="O297" t="s">
        <v>304</v>
      </c>
      <c r="P297" t="s">
        <v>305</v>
      </c>
      <c r="Q297" t="s">
        <v>189</v>
      </c>
    </row>
    <row r="298" spans="2:17" customFormat="1" ht="15" hidden="1" x14ac:dyDescent="0.25">
      <c r="B298">
        <v>10690</v>
      </c>
      <c r="C298" t="s">
        <v>300</v>
      </c>
      <c r="D298" s="1">
        <v>35705</v>
      </c>
      <c r="E298" s="1" t="str">
        <f t="shared" si="12"/>
        <v>out</v>
      </c>
      <c r="F298" s="1" t="str">
        <f t="shared" si="13"/>
        <v>1997</v>
      </c>
      <c r="G298" s="1">
        <v>35733</v>
      </c>
      <c r="H298" s="1">
        <v>35706</v>
      </c>
      <c r="I298">
        <v>1</v>
      </c>
      <c r="J298" t="str">
        <f t="shared" si="14"/>
        <v>UPS</v>
      </c>
      <c r="K298">
        <v>15.8</v>
      </c>
      <c r="L298" t="s">
        <v>56</v>
      </c>
      <c r="M298" t="s">
        <v>302</v>
      </c>
      <c r="N298" t="s">
        <v>303</v>
      </c>
      <c r="O298" t="s">
        <v>304</v>
      </c>
      <c r="P298" t="s">
        <v>305</v>
      </c>
      <c r="Q298" t="s">
        <v>189</v>
      </c>
    </row>
    <row r="299" spans="2:17" customFormat="1" ht="15" hidden="1" x14ac:dyDescent="0.25">
      <c r="B299">
        <v>10770</v>
      </c>
      <c r="C299" t="s">
        <v>300</v>
      </c>
      <c r="D299" s="1">
        <v>35773</v>
      </c>
      <c r="E299" s="1" t="str">
        <f t="shared" si="12"/>
        <v>dez</v>
      </c>
      <c r="F299" s="1" t="str">
        <f t="shared" si="13"/>
        <v>1997</v>
      </c>
      <c r="G299" s="1">
        <v>35801</v>
      </c>
      <c r="H299" s="1">
        <v>35781</v>
      </c>
      <c r="I299">
        <v>3</v>
      </c>
      <c r="J299" t="str">
        <f t="shared" si="14"/>
        <v>DHL</v>
      </c>
      <c r="K299">
        <v>5.32</v>
      </c>
      <c r="L299" t="s">
        <v>56</v>
      </c>
      <c r="M299" t="s">
        <v>302</v>
      </c>
      <c r="N299" t="s">
        <v>303</v>
      </c>
      <c r="O299" t="s">
        <v>304</v>
      </c>
      <c r="P299" t="s">
        <v>305</v>
      </c>
      <c r="Q299" t="s">
        <v>189</v>
      </c>
    </row>
    <row r="300" spans="2:17" customFormat="1" ht="15" hidden="1" x14ac:dyDescent="0.25">
      <c r="B300">
        <v>10783</v>
      </c>
      <c r="C300" t="s">
        <v>300</v>
      </c>
      <c r="D300" s="1">
        <v>35782</v>
      </c>
      <c r="E300" s="1" t="str">
        <f t="shared" si="12"/>
        <v>dez</v>
      </c>
      <c r="F300" s="1" t="str">
        <f t="shared" si="13"/>
        <v>1997</v>
      </c>
      <c r="G300" s="1">
        <v>35810</v>
      </c>
      <c r="H300" s="1">
        <v>35783</v>
      </c>
      <c r="I300">
        <v>2</v>
      </c>
      <c r="J300" t="str">
        <f t="shared" si="14"/>
        <v>USPS</v>
      </c>
      <c r="K300">
        <v>124.98</v>
      </c>
      <c r="L300" t="s">
        <v>56</v>
      </c>
      <c r="M300" t="s">
        <v>302</v>
      </c>
      <c r="N300" t="s">
        <v>303</v>
      </c>
      <c r="O300" t="s">
        <v>304</v>
      </c>
      <c r="P300" t="s">
        <v>305</v>
      </c>
      <c r="Q300" t="s">
        <v>189</v>
      </c>
    </row>
    <row r="301" spans="2:17" customFormat="1" ht="15" hidden="1" x14ac:dyDescent="0.25">
      <c r="B301">
        <v>10886</v>
      </c>
      <c r="C301" t="s">
        <v>300</v>
      </c>
      <c r="D301" s="1">
        <v>35839</v>
      </c>
      <c r="E301" s="1" t="str">
        <f t="shared" si="12"/>
        <v>fev</v>
      </c>
      <c r="F301" s="1" t="str">
        <f t="shared" si="13"/>
        <v>1998</v>
      </c>
      <c r="G301" s="1">
        <v>35867</v>
      </c>
      <c r="H301" s="1">
        <v>35856</v>
      </c>
      <c r="I301">
        <v>1</v>
      </c>
      <c r="J301" t="str">
        <f t="shared" si="14"/>
        <v>UPS</v>
      </c>
      <c r="K301">
        <v>4.99</v>
      </c>
      <c r="L301" t="s">
        <v>56</v>
      </c>
      <c r="M301" t="s">
        <v>302</v>
      </c>
      <c r="N301" t="s">
        <v>303</v>
      </c>
      <c r="O301" t="s">
        <v>304</v>
      </c>
      <c r="P301" t="s">
        <v>305</v>
      </c>
      <c r="Q301" t="s">
        <v>189</v>
      </c>
    </row>
    <row r="302" spans="2:17" customFormat="1" ht="15" hidden="1" x14ac:dyDescent="0.25">
      <c r="B302">
        <v>10903</v>
      </c>
      <c r="C302" t="s">
        <v>300</v>
      </c>
      <c r="D302" s="1">
        <v>35850</v>
      </c>
      <c r="E302" s="1" t="str">
        <f t="shared" si="12"/>
        <v>fev</v>
      </c>
      <c r="F302" s="1" t="str">
        <f t="shared" si="13"/>
        <v>1998</v>
      </c>
      <c r="G302" s="1">
        <v>35878</v>
      </c>
      <c r="H302" s="1">
        <v>35858</v>
      </c>
      <c r="I302">
        <v>3</v>
      </c>
      <c r="J302" t="str">
        <f t="shared" si="14"/>
        <v>DHL</v>
      </c>
      <c r="K302">
        <v>36.71</v>
      </c>
      <c r="L302" t="s">
        <v>56</v>
      </c>
      <c r="M302" t="s">
        <v>302</v>
      </c>
      <c r="N302" t="s">
        <v>303</v>
      </c>
      <c r="O302" t="s">
        <v>304</v>
      </c>
      <c r="P302" t="s">
        <v>305</v>
      </c>
      <c r="Q302" t="s">
        <v>189</v>
      </c>
    </row>
    <row r="303" spans="2:17" customFormat="1" ht="15" hidden="1" x14ac:dyDescent="0.25">
      <c r="B303">
        <v>10922</v>
      </c>
      <c r="C303" t="s">
        <v>300</v>
      </c>
      <c r="D303" s="1">
        <v>35857</v>
      </c>
      <c r="E303" s="1" t="str">
        <f t="shared" si="12"/>
        <v>mar</v>
      </c>
      <c r="F303" s="1" t="str">
        <f t="shared" si="13"/>
        <v>1998</v>
      </c>
      <c r="G303" s="1">
        <v>35885</v>
      </c>
      <c r="H303" s="1">
        <v>35859</v>
      </c>
      <c r="I303">
        <v>3</v>
      </c>
      <c r="J303" t="str">
        <f t="shared" si="14"/>
        <v>DHL</v>
      </c>
      <c r="K303">
        <v>62.74</v>
      </c>
      <c r="L303" t="s">
        <v>56</v>
      </c>
      <c r="M303" t="s">
        <v>302</v>
      </c>
      <c r="N303" t="s">
        <v>303</v>
      </c>
      <c r="O303" t="s">
        <v>304</v>
      </c>
      <c r="P303" t="s">
        <v>305</v>
      </c>
      <c r="Q303" t="s">
        <v>189</v>
      </c>
    </row>
    <row r="304" spans="2:17" customFormat="1" ht="15" hidden="1" x14ac:dyDescent="0.25">
      <c r="B304">
        <v>10925</v>
      </c>
      <c r="C304" t="s">
        <v>300</v>
      </c>
      <c r="D304" s="1">
        <v>35858</v>
      </c>
      <c r="E304" s="1" t="str">
        <f t="shared" si="12"/>
        <v>mar</v>
      </c>
      <c r="F304" s="1" t="str">
        <f t="shared" si="13"/>
        <v>1998</v>
      </c>
      <c r="G304" s="1">
        <v>35886</v>
      </c>
      <c r="H304" s="1">
        <v>35867</v>
      </c>
      <c r="I304">
        <v>1</v>
      </c>
      <c r="J304" t="str">
        <f t="shared" si="14"/>
        <v>UPS</v>
      </c>
      <c r="K304">
        <v>2.27</v>
      </c>
      <c r="L304" t="s">
        <v>56</v>
      </c>
      <c r="M304" t="s">
        <v>302</v>
      </c>
      <c r="N304" t="s">
        <v>303</v>
      </c>
      <c r="O304" t="s">
        <v>304</v>
      </c>
      <c r="P304" t="s">
        <v>305</v>
      </c>
      <c r="Q304" t="s">
        <v>189</v>
      </c>
    </row>
    <row r="305" spans="2:17" customFormat="1" ht="15" hidden="1" x14ac:dyDescent="0.25">
      <c r="B305">
        <v>10981</v>
      </c>
      <c r="C305" t="s">
        <v>300</v>
      </c>
      <c r="D305" s="1">
        <v>35881</v>
      </c>
      <c r="E305" s="1" t="str">
        <f t="shared" si="12"/>
        <v>mar</v>
      </c>
      <c r="F305" s="1" t="str">
        <f t="shared" si="13"/>
        <v>1998</v>
      </c>
      <c r="G305" s="1">
        <v>35909</v>
      </c>
      <c r="H305" s="1">
        <v>35887</v>
      </c>
      <c r="I305">
        <v>2</v>
      </c>
      <c r="J305" t="str">
        <f t="shared" si="14"/>
        <v>USPS</v>
      </c>
      <c r="K305">
        <v>193.37</v>
      </c>
      <c r="L305" t="s">
        <v>56</v>
      </c>
      <c r="M305" t="s">
        <v>302</v>
      </c>
      <c r="N305" t="s">
        <v>303</v>
      </c>
      <c r="O305" t="s">
        <v>304</v>
      </c>
      <c r="P305" t="s">
        <v>305</v>
      </c>
      <c r="Q305" t="s">
        <v>189</v>
      </c>
    </row>
    <row r="306" spans="2:17" customFormat="1" ht="15" hidden="1" x14ac:dyDescent="0.25">
      <c r="B306">
        <v>11022</v>
      </c>
      <c r="C306" t="s">
        <v>300</v>
      </c>
      <c r="D306" s="1">
        <v>35899</v>
      </c>
      <c r="E306" s="1" t="str">
        <f t="shared" si="12"/>
        <v>abr</v>
      </c>
      <c r="F306" s="1" t="str">
        <f t="shared" si="13"/>
        <v>1998</v>
      </c>
      <c r="G306" s="1">
        <v>35927</v>
      </c>
      <c r="H306" s="1">
        <v>35919</v>
      </c>
      <c r="I306">
        <v>2</v>
      </c>
      <c r="J306" t="str">
        <f t="shared" si="14"/>
        <v>USPS</v>
      </c>
      <c r="K306">
        <v>6.27</v>
      </c>
      <c r="L306" t="s">
        <v>56</v>
      </c>
      <c r="M306" t="s">
        <v>302</v>
      </c>
      <c r="N306" t="s">
        <v>303</v>
      </c>
      <c r="O306" t="s">
        <v>304</v>
      </c>
      <c r="P306" t="s">
        <v>305</v>
      </c>
      <c r="Q306" t="s">
        <v>189</v>
      </c>
    </row>
    <row r="307" spans="2:17" customFormat="1" ht="15" hidden="1" x14ac:dyDescent="0.25">
      <c r="B307">
        <v>11052</v>
      </c>
      <c r="C307" t="s">
        <v>300</v>
      </c>
      <c r="D307" s="1">
        <v>35912</v>
      </c>
      <c r="E307" s="1" t="str">
        <f t="shared" si="12"/>
        <v>abr</v>
      </c>
      <c r="F307" s="1" t="str">
        <f t="shared" si="13"/>
        <v>1998</v>
      </c>
      <c r="G307" s="1">
        <v>35940</v>
      </c>
      <c r="H307" s="1">
        <v>35916</v>
      </c>
      <c r="I307">
        <v>1</v>
      </c>
      <c r="J307" t="str">
        <f t="shared" si="14"/>
        <v>UPS</v>
      </c>
      <c r="K307">
        <v>67.260000000000005</v>
      </c>
      <c r="L307" t="s">
        <v>56</v>
      </c>
      <c r="M307" t="s">
        <v>302</v>
      </c>
      <c r="N307" t="s">
        <v>303</v>
      </c>
      <c r="O307" t="s">
        <v>304</v>
      </c>
      <c r="P307" t="s">
        <v>305</v>
      </c>
      <c r="Q307" t="s">
        <v>189</v>
      </c>
    </row>
    <row r="308" spans="2:17" customFormat="1" ht="15" hidden="1" x14ac:dyDescent="0.25">
      <c r="B308">
        <v>10257</v>
      </c>
      <c r="C308" t="s">
        <v>307</v>
      </c>
      <c r="D308" s="1">
        <v>35262</v>
      </c>
      <c r="E308" s="1" t="str">
        <f t="shared" si="12"/>
        <v>jul</v>
      </c>
      <c r="F308" s="1" t="str">
        <f t="shared" si="13"/>
        <v>1996</v>
      </c>
      <c r="G308" s="1">
        <v>35290</v>
      </c>
      <c r="H308" s="1">
        <v>35268</v>
      </c>
      <c r="I308">
        <v>3</v>
      </c>
      <c r="J308" t="str">
        <f t="shared" si="14"/>
        <v>DHL</v>
      </c>
      <c r="K308">
        <v>81.91</v>
      </c>
      <c r="L308" t="s">
        <v>55</v>
      </c>
      <c r="M308" t="s">
        <v>309</v>
      </c>
      <c r="N308" t="s">
        <v>310</v>
      </c>
      <c r="O308" t="s">
        <v>311</v>
      </c>
      <c r="P308" t="s">
        <v>312</v>
      </c>
      <c r="Q308" t="s">
        <v>298</v>
      </c>
    </row>
    <row r="309" spans="2:17" customFormat="1" ht="15" hidden="1" x14ac:dyDescent="0.25">
      <c r="B309">
        <v>10395</v>
      </c>
      <c r="C309" t="s">
        <v>307</v>
      </c>
      <c r="D309" s="1">
        <v>35425</v>
      </c>
      <c r="E309" s="1" t="str">
        <f t="shared" si="12"/>
        <v>dez</v>
      </c>
      <c r="F309" s="1" t="str">
        <f t="shared" si="13"/>
        <v>1996</v>
      </c>
      <c r="G309" s="1">
        <v>35453</v>
      </c>
      <c r="H309" s="1">
        <v>35433</v>
      </c>
      <c r="I309">
        <v>1</v>
      </c>
      <c r="J309" t="str">
        <f t="shared" si="14"/>
        <v>UPS</v>
      </c>
      <c r="K309">
        <v>184.41</v>
      </c>
      <c r="L309" t="s">
        <v>55</v>
      </c>
      <c r="M309" t="s">
        <v>309</v>
      </c>
      <c r="N309" t="s">
        <v>310</v>
      </c>
      <c r="O309" t="s">
        <v>311</v>
      </c>
      <c r="P309" t="s">
        <v>312</v>
      </c>
      <c r="Q309" t="s">
        <v>298</v>
      </c>
    </row>
    <row r="310" spans="2:17" customFormat="1" ht="15" hidden="1" x14ac:dyDescent="0.25">
      <c r="B310">
        <v>10476</v>
      </c>
      <c r="C310" t="s">
        <v>307</v>
      </c>
      <c r="D310" s="1">
        <v>35506</v>
      </c>
      <c r="E310" s="1" t="str">
        <f t="shared" si="12"/>
        <v>mar</v>
      </c>
      <c r="F310" s="1" t="str">
        <f t="shared" si="13"/>
        <v>1997</v>
      </c>
      <c r="G310" s="1">
        <v>35534</v>
      </c>
      <c r="H310" s="1">
        <v>35513</v>
      </c>
      <c r="I310">
        <v>3</v>
      </c>
      <c r="J310" t="str">
        <f t="shared" si="14"/>
        <v>DHL</v>
      </c>
      <c r="K310">
        <v>4.41</v>
      </c>
      <c r="L310" t="s">
        <v>55</v>
      </c>
      <c r="M310" t="s">
        <v>309</v>
      </c>
      <c r="N310" t="s">
        <v>310</v>
      </c>
      <c r="O310" t="s">
        <v>311</v>
      </c>
      <c r="P310" t="s">
        <v>312</v>
      </c>
      <c r="Q310" t="s">
        <v>298</v>
      </c>
    </row>
    <row r="311" spans="2:17" customFormat="1" ht="15" hidden="1" x14ac:dyDescent="0.25">
      <c r="B311">
        <v>10486</v>
      </c>
      <c r="C311" t="s">
        <v>307</v>
      </c>
      <c r="D311" s="1">
        <v>35515</v>
      </c>
      <c r="E311" s="1" t="str">
        <f t="shared" si="12"/>
        <v>mar</v>
      </c>
      <c r="F311" s="1" t="str">
        <f t="shared" si="13"/>
        <v>1997</v>
      </c>
      <c r="G311" s="1">
        <v>35543</v>
      </c>
      <c r="H311" s="1">
        <v>35522</v>
      </c>
      <c r="I311">
        <v>2</v>
      </c>
      <c r="J311" t="str">
        <f t="shared" si="14"/>
        <v>USPS</v>
      </c>
      <c r="K311">
        <v>30.53</v>
      </c>
      <c r="L311" t="s">
        <v>55</v>
      </c>
      <c r="M311" t="s">
        <v>309</v>
      </c>
      <c r="N311" t="s">
        <v>310</v>
      </c>
      <c r="O311" t="s">
        <v>311</v>
      </c>
      <c r="P311" t="s">
        <v>312</v>
      </c>
      <c r="Q311" t="s">
        <v>298</v>
      </c>
    </row>
    <row r="312" spans="2:17" customFormat="1" ht="15" hidden="1" x14ac:dyDescent="0.25">
      <c r="B312">
        <v>10490</v>
      </c>
      <c r="C312" t="s">
        <v>307</v>
      </c>
      <c r="D312" s="1">
        <v>35520</v>
      </c>
      <c r="E312" s="1" t="str">
        <f t="shared" si="12"/>
        <v>mar</v>
      </c>
      <c r="F312" s="1" t="str">
        <f t="shared" si="13"/>
        <v>1997</v>
      </c>
      <c r="G312" s="1">
        <v>35548</v>
      </c>
      <c r="H312" s="1">
        <v>35523</v>
      </c>
      <c r="I312">
        <v>2</v>
      </c>
      <c r="J312" t="str">
        <f t="shared" si="14"/>
        <v>USPS</v>
      </c>
      <c r="K312">
        <v>210.19</v>
      </c>
      <c r="L312" t="s">
        <v>55</v>
      </c>
      <c r="M312" t="s">
        <v>309</v>
      </c>
      <c r="N312" t="s">
        <v>310</v>
      </c>
      <c r="O312" t="s">
        <v>311</v>
      </c>
      <c r="P312" t="s">
        <v>312</v>
      </c>
      <c r="Q312" t="s">
        <v>298</v>
      </c>
    </row>
    <row r="313" spans="2:17" customFormat="1" ht="15" hidden="1" x14ac:dyDescent="0.25">
      <c r="B313">
        <v>10498</v>
      </c>
      <c r="C313" t="s">
        <v>307</v>
      </c>
      <c r="D313" s="1">
        <v>35527</v>
      </c>
      <c r="E313" s="1" t="str">
        <f t="shared" si="12"/>
        <v>abr</v>
      </c>
      <c r="F313" s="1" t="str">
        <f t="shared" si="13"/>
        <v>1997</v>
      </c>
      <c r="G313" s="1">
        <v>35555</v>
      </c>
      <c r="H313" s="1">
        <v>35531</v>
      </c>
      <c r="I313">
        <v>2</v>
      </c>
      <c r="J313" t="str">
        <f t="shared" si="14"/>
        <v>USPS</v>
      </c>
      <c r="K313">
        <v>29.75</v>
      </c>
      <c r="L313" t="s">
        <v>55</v>
      </c>
      <c r="M313" t="s">
        <v>309</v>
      </c>
      <c r="N313" t="s">
        <v>310</v>
      </c>
      <c r="O313" t="s">
        <v>311</v>
      </c>
      <c r="P313" t="s">
        <v>312</v>
      </c>
      <c r="Q313" t="s">
        <v>298</v>
      </c>
    </row>
    <row r="314" spans="2:17" customFormat="1" ht="15" hidden="1" x14ac:dyDescent="0.25">
      <c r="B314">
        <v>10552</v>
      </c>
      <c r="C314" t="s">
        <v>307</v>
      </c>
      <c r="D314" s="1">
        <v>35579</v>
      </c>
      <c r="E314" s="1" t="str">
        <f t="shared" si="12"/>
        <v>mai</v>
      </c>
      <c r="F314" s="1" t="str">
        <f t="shared" si="13"/>
        <v>1997</v>
      </c>
      <c r="G314" s="1">
        <v>35607</v>
      </c>
      <c r="H314" s="1">
        <v>35586</v>
      </c>
      <c r="I314">
        <v>1</v>
      </c>
      <c r="J314" t="str">
        <f t="shared" si="14"/>
        <v>UPS</v>
      </c>
      <c r="K314">
        <v>83.22</v>
      </c>
      <c r="L314" t="s">
        <v>55</v>
      </c>
      <c r="M314" t="s">
        <v>309</v>
      </c>
      <c r="N314" t="s">
        <v>310</v>
      </c>
      <c r="O314" t="s">
        <v>311</v>
      </c>
      <c r="P314" t="s">
        <v>312</v>
      </c>
      <c r="Q314" t="s">
        <v>298</v>
      </c>
    </row>
    <row r="315" spans="2:17" customFormat="1" ht="15" hidden="1" x14ac:dyDescent="0.25">
      <c r="B315">
        <v>10601</v>
      </c>
      <c r="C315" t="s">
        <v>307</v>
      </c>
      <c r="D315" s="1">
        <v>35627</v>
      </c>
      <c r="E315" s="1" t="str">
        <f t="shared" si="12"/>
        <v>jul</v>
      </c>
      <c r="F315" s="1" t="str">
        <f t="shared" si="13"/>
        <v>1997</v>
      </c>
      <c r="G315" s="1">
        <v>35669</v>
      </c>
      <c r="H315" s="1">
        <v>35633</v>
      </c>
      <c r="I315">
        <v>1</v>
      </c>
      <c r="J315" t="str">
        <f t="shared" si="14"/>
        <v>UPS</v>
      </c>
      <c r="K315">
        <v>58.3</v>
      </c>
      <c r="L315" t="s">
        <v>55</v>
      </c>
      <c r="M315" t="s">
        <v>309</v>
      </c>
      <c r="N315" t="s">
        <v>310</v>
      </c>
      <c r="O315" t="s">
        <v>311</v>
      </c>
      <c r="P315" t="s">
        <v>312</v>
      </c>
      <c r="Q315" t="s">
        <v>298</v>
      </c>
    </row>
    <row r="316" spans="2:17" customFormat="1" ht="15" hidden="1" x14ac:dyDescent="0.25">
      <c r="B316">
        <v>10613</v>
      </c>
      <c r="C316" t="s">
        <v>307</v>
      </c>
      <c r="D316" s="1">
        <v>35640</v>
      </c>
      <c r="E316" s="1" t="str">
        <f t="shared" si="12"/>
        <v>jul</v>
      </c>
      <c r="F316" s="1" t="str">
        <f t="shared" si="13"/>
        <v>1997</v>
      </c>
      <c r="G316" s="1">
        <v>35668</v>
      </c>
      <c r="H316" s="1">
        <v>35643</v>
      </c>
      <c r="I316">
        <v>2</v>
      </c>
      <c r="J316" t="str">
        <f t="shared" si="14"/>
        <v>USPS</v>
      </c>
      <c r="K316">
        <v>8.11</v>
      </c>
      <c r="L316" t="s">
        <v>55</v>
      </c>
      <c r="M316" t="s">
        <v>309</v>
      </c>
      <c r="N316" t="s">
        <v>310</v>
      </c>
      <c r="O316" t="s">
        <v>311</v>
      </c>
      <c r="P316" t="s">
        <v>312</v>
      </c>
      <c r="Q316" t="s">
        <v>298</v>
      </c>
    </row>
    <row r="317" spans="2:17" customFormat="1" ht="15" hidden="1" x14ac:dyDescent="0.25">
      <c r="B317">
        <v>10641</v>
      </c>
      <c r="C317" t="s">
        <v>307</v>
      </c>
      <c r="D317" s="1">
        <v>35664</v>
      </c>
      <c r="E317" s="1" t="str">
        <f t="shared" si="12"/>
        <v>ago</v>
      </c>
      <c r="F317" s="1" t="str">
        <f t="shared" si="13"/>
        <v>1997</v>
      </c>
      <c r="G317" s="1">
        <v>35692</v>
      </c>
      <c r="H317" s="1">
        <v>35668</v>
      </c>
      <c r="I317">
        <v>2</v>
      </c>
      <c r="J317" t="str">
        <f t="shared" si="14"/>
        <v>USPS</v>
      </c>
      <c r="K317">
        <v>179.61</v>
      </c>
      <c r="L317" t="s">
        <v>55</v>
      </c>
      <c r="M317" t="s">
        <v>309</v>
      </c>
      <c r="N317" t="s">
        <v>310</v>
      </c>
      <c r="O317" t="s">
        <v>311</v>
      </c>
      <c r="P317" t="s">
        <v>312</v>
      </c>
      <c r="Q317" t="s">
        <v>298</v>
      </c>
    </row>
    <row r="318" spans="2:17" customFormat="1" ht="15" hidden="1" x14ac:dyDescent="0.25">
      <c r="B318">
        <v>10705</v>
      </c>
      <c r="C318" t="s">
        <v>307</v>
      </c>
      <c r="D318" s="1">
        <v>35718</v>
      </c>
      <c r="E318" s="1" t="str">
        <f t="shared" si="12"/>
        <v>out</v>
      </c>
      <c r="F318" s="1" t="str">
        <f t="shared" si="13"/>
        <v>1997</v>
      </c>
      <c r="G318" s="1">
        <v>35746</v>
      </c>
      <c r="H318" s="1">
        <v>35752</v>
      </c>
      <c r="I318">
        <v>2</v>
      </c>
      <c r="J318" t="str">
        <f t="shared" si="14"/>
        <v>USPS</v>
      </c>
      <c r="K318">
        <v>3.52</v>
      </c>
      <c r="L318" t="s">
        <v>55</v>
      </c>
      <c r="M318" t="s">
        <v>309</v>
      </c>
      <c r="N318" t="s">
        <v>310</v>
      </c>
      <c r="O318" t="s">
        <v>311</v>
      </c>
      <c r="P318" t="s">
        <v>312</v>
      </c>
      <c r="Q318" t="s">
        <v>298</v>
      </c>
    </row>
    <row r="319" spans="2:17" customFormat="1" ht="15" hidden="1" x14ac:dyDescent="0.25">
      <c r="B319">
        <v>10796</v>
      </c>
      <c r="C319" t="s">
        <v>307</v>
      </c>
      <c r="D319" s="1">
        <v>35789</v>
      </c>
      <c r="E319" s="1" t="str">
        <f t="shared" si="12"/>
        <v>dez</v>
      </c>
      <c r="F319" s="1" t="str">
        <f t="shared" si="13"/>
        <v>1997</v>
      </c>
      <c r="G319" s="1">
        <v>35817</v>
      </c>
      <c r="H319" s="1">
        <v>35809</v>
      </c>
      <c r="I319">
        <v>1</v>
      </c>
      <c r="J319" t="str">
        <f t="shared" si="14"/>
        <v>UPS</v>
      </c>
      <c r="K319">
        <v>26.52</v>
      </c>
      <c r="L319" t="s">
        <v>55</v>
      </c>
      <c r="M319" t="s">
        <v>309</v>
      </c>
      <c r="N319" t="s">
        <v>310</v>
      </c>
      <c r="O319" t="s">
        <v>311</v>
      </c>
      <c r="P319" t="s">
        <v>312</v>
      </c>
      <c r="Q319" t="s">
        <v>298</v>
      </c>
    </row>
    <row r="320" spans="2:17" customFormat="1" ht="15" hidden="1" x14ac:dyDescent="0.25">
      <c r="B320">
        <v>10863</v>
      </c>
      <c r="C320" t="s">
        <v>307</v>
      </c>
      <c r="D320" s="1">
        <v>35828</v>
      </c>
      <c r="E320" s="1" t="str">
        <f t="shared" si="12"/>
        <v>fev</v>
      </c>
      <c r="F320" s="1" t="str">
        <f t="shared" si="13"/>
        <v>1998</v>
      </c>
      <c r="G320" s="1">
        <v>35856</v>
      </c>
      <c r="H320" s="1">
        <v>35843</v>
      </c>
      <c r="I320">
        <v>2</v>
      </c>
      <c r="J320" t="str">
        <f t="shared" si="14"/>
        <v>USPS</v>
      </c>
      <c r="K320">
        <v>30.26</v>
      </c>
      <c r="L320" t="s">
        <v>55</v>
      </c>
      <c r="M320" t="s">
        <v>309</v>
      </c>
      <c r="N320" t="s">
        <v>310</v>
      </c>
      <c r="O320" t="s">
        <v>311</v>
      </c>
      <c r="P320" t="s">
        <v>312</v>
      </c>
      <c r="Q320" t="s">
        <v>298</v>
      </c>
    </row>
    <row r="321" spans="2:17" customFormat="1" ht="15" hidden="1" x14ac:dyDescent="0.25">
      <c r="B321">
        <v>10901</v>
      </c>
      <c r="C321" t="s">
        <v>307</v>
      </c>
      <c r="D321" s="1">
        <v>35849</v>
      </c>
      <c r="E321" s="1" t="str">
        <f t="shared" si="12"/>
        <v>fev</v>
      </c>
      <c r="F321" s="1" t="str">
        <f t="shared" si="13"/>
        <v>1998</v>
      </c>
      <c r="G321" s="1">
        <v>35877</v>
      </c>
      <c r="H321" s="1">
        <v>35852</v>
      </c>
      <c r="I321">
        <v>1</v>
      </c>
      <c r="J321" t="str">
        <f t="shared" si="14"/>
        <v>UPS</v>
      </c>
      <c r="K321">
        <v>62.09</v>
      </c>
      <c r="L321" t="s">
        <v>55</v>
      </c>
      <c r="M321" t="s">
        <v>309</v>
      </c>
      <c r="N321" t="s">
        <v>310</v>
      </c>
      <c r="O321" t="s">
        <v>311</v>
      </c>
      <c r="P321" t="s">
        <v>312</v>
      </c>
      <c r="Q321" t="s">
        <v>298</v>
      </c>
    </row>
    <row r="322" spans="2:17" customFormat="1" ht="15" hidden="1" x14ac:dyDescent="0.25">
      <c r="B322">
        <v>10957</v>
      </c>
      <c r="C322" t="s">
        <v>307</v>
      </c>
      <c r="D322" s="1">
        <v>35872</v>
      </c>
      <c r="E322" s="1" t="str">
        <f t="shared" si="12"/>
        <v>mar</v>
      </c>
      <c r="F322" s="1" t="str">
        <f t="shared" si="13"/>
        <v>1998</v>
      </c>
      <c r="G322" s="1">
        <v>35900</v>
      </c>
      <c r="H322" s="1">
        <v>35881</v>
      </c>
      <c r="I322">
        <v>3</v>
      </c>
      <c r="J322" t="str">
        <f t="shared" si="14"/>
        <v>DHL</v>
      </c>
      <c r="K322">
        <v>105.36</v>
      </c>
      <c r="L322" t="s">
        <v>55</v>
      </c>
      <c r="M322" t="s">
        <v>309</v>
      </c>
      <c r="N322" t="s">
        <v>310</v>
      </c>
      <c r="O322" t="s">
        <v>311</v>
      </c>
      <c r="P322" t="s">
        <v>312</v>
      </c>
      <c r="Q322" t="s">
        <v>298</v>
      </c>
    </row>
    <row r="323" spans="2:17" customFormat="1" ht="15" hidden="1" x14ac:dyDescent="0.25">
      <c r="B323">
        <v>10960</v>
      </c>
      <c r="C323" t="s">
        <v>307</v>
      </c>
      <c r="D323" s="1">
        <v>35873</v>
      </c>
      <c r="E323" s="1" t="str">
        <f t="shared" si="12"/>
        <v>mar</v>
      </c>
      <c r="F323" s="1" t="str">
        <f t="shared" si="13"/>
        <v>1998</v>
      </c>
      <c r="G323" s="1">
        <v>35887</v>
      </c>
      <c r="H323" s="1">
        <v>35893</v>
      </c>
      <c r="I323">
        <v>1</v>
      </c>
      <c r="J323" t="str">
        <f t="shared" si="14"/>
        <v>UPS</v>
      </c>
      <c r="K323">
        <v>2.08</v>
      </c>
      <c r="L323" t="s">
        <v>55</v>
      </c>
      <c r="M323" t="s">
        <v>309</v>
      </c>
      <c r="N323" t="s">
        <v>310</v>
      </c>
      <c r="O323" t="s">
        <v>311</v>
      </c>
      <c r="P323" t="s">
        <v>312</v>
      </c>
      <c r="Q323" t="s">
        <v>298</v>
      </c>
    </row>
    <row r="324" spans="2:17" customFormat="1" ht="15" hidden="1" x14ac:dyDescent="0.25">
      <c r="B324">
        <v>10976</v>
      </c>
      <c r="C324" t="s">
        <v>307</v>
      </c>
      <c r="D324" s="1">
        <v>35879</v>
      </c>
      <c r="E324" s="1" t="str">
        <f t="shared" si="12"/>
        <v>mar</v>
      </c>
      <c r="F324" s="1" t="str">
        <f t="shared" si="13"/>
        <v>1998</v>
      </c>
      <c r="G324" s="1">
        <v>35921</v>
      </c>
      <c r="H324" s="1">
        <v>35888</v>
      </c>
      <c r="I324">
        <v>1</v>
      </c>
      <c r="J324" t="str">
        <f t="shared" si="14"/>
        <v>UPS</v>
      </c>
      <c r="K324">
        <v>37.97</v>
      </c>
      <c r="L324" t="s">
        <v>55</v>
      </c>
      <c r="M324" t="s">
        <v>309</v>
      </c>
      <c r="N324" t="s">
        <v>310</v>
      </c>
      <c r="O324" t="s">
        <v>311</v>
      </c>
      <c r="P324" t="s">
        <v>312</v>
      </c>
      <c r="Q324" t="s">
        <v>298</v>
      </c>
    </row>
    <row r="325" spans="2:17" customFormat="1" ht="15" hidden="1" x14ac:dyDescent="0.25">
      <c r="B325">
        <v>11055</v>
      </c>
      <c r="C325" t="s">
        <v>307</v>
      </c>
      <c r="D325" s="1">
        <v>35913</v>
      </c>
      <c r="E325" s="1" t="str">
        <f t="shared" si="12"/>
        <v>abr</v>
      </c>
      <c r="F325" s="1" t="str">
        <f t="shared" si="13"/>
        <v>1998</v>
      </c>
      <c r="G325" s="1">
        <v>35941</v>
      </c>
      <c r="H325" s="1">
        <v>35920</v>
      </c>
      <c r="I325">
        <v>2</v>
      </c>
      <c r="J325" t="str">
        <f t="shared" si="14"/>
        <v>USPS</v>
      </c>
      <c r="K325">
        <v>120.92</v>
      </c>
      <c r="L325" t="s">
        <v>55</v>
      </c>
      <c r="M325" t="s">
        <v>309</v>
      </c>
      <c r="N325" t="s">
        <v>310</v>
      </c>
      <c r="O325" t="s">
        <v>311</v>
      </c>
      <c r="P325" t="s">
        <v>312</v>
      </c>
      <c r="Q325" t="s">
        <v>298</v>
      </c>
    </row>
    <row r="326" spans="2:17" customFormat="1" ht="15" hidden="1" x14ac:dyDescent="0.25">
      <c r="B326">
        <v>10375</v>
      </c>
      <c r="C326" t="s">
        <v>314</v>
      </c>
      <c r="D326" s="1">
        <v>35405</v>
      </c>
      <c r="E326" s="1" t="str">
        <f t="shared" si="12"/>
        <v>dez</v>
      </c>
      <c r="F326" s="1" t="str">
        <f t="shared" si="13"/>
        <v>1996</v>
      </c>
      <c r="G326" s="1">
        <v>35433</v>
      </c>
      <c r="H326" s="1">
        <v>35408</v>
      </c>
      <c r="I326">
        <v>2</v>
      </c>
      <c r="J326" t="str">
        <f t="shared" si="14"/>
        <v>USPS</v>
      </c>
      <c r="K326">
        <v>20.12</v>
      </c>
      <c r="L326" t="s">
        <v>54</v>
      </c>
      <c r="M326" t="s">
        <v>316</v>
      </c>
      <c r="N326" t="s">
        <v>317</v>
      </c>
      <c r="O326" t="s">
        <v>288</v>
      </c>
      <c r="P326" t="s">
        <v>318</v>
      </c>
      <c r="Q326" t="s">
        <v>290</v>
      </c>
    </row>
    <row r="327" spans="2:17" customFormat="1" ht="15" hidden="1" x14ac:dyDescent="0.25">
      <c r="B327">
        <v>10394</v>
      </c>
      <c r="C327" t="s">
        <v>314</v>
      </c>
      <c r="D327" s="1">
        <v>35424</v>
      </c>
      <c r="E327" s="1" t="str">
        <f t="shared" si="12"/>
        <v>dez</v>
      </c>
      <c r="F327" s="1" t="str">
        <f t="shared" si="13"/>
        <v>1996</v>
      </c>
      <c r="G327" s="1">
        <v>35452</v>
      </c>
      <c r="H327" s="1">
        <v>35433</v>
      </c>
      <c r="I327">
        <v>3</v>
      </c>
      <c r="J327" t="str">
        <f t="shared" si="14"/>
        <v>DHL</v>
      </c>
      <c r="K327">
        <v>30.34</v>
      </c>
      <c r="L327" t="s">
        <v>54</v>
      </c>
      <c r="M327" t="s">
        <v>316</v>
      </c>
      <c r="N327" t="s">
        <v>317</v>
      </c>
      <c r="O327" t="s">
        <v>288</v>
      </c>
      <c r="P327" t="s">
        <v>318</v>
      </c>
      <c r="Q327" t="s">
        <v>290</v>
      </c>
    </row>
    <row r="328" spans="2:17" customFormat="1" ht="15" hidden="1" x14ac:dyDescent="0.25">
      <c r="B328">
        <v>10415</v>
      </c>
      <c r="C328" t="s">
        <v>314</v>
      </c>
      <c r="D328" s="1">
        <v>35445</v>
      </c>
      <c r="E328" s="1" t="str">
        <f t="shared" si="12"/>
        <v>jan</v>
      </c>
      <c r="F328" s="1" t="str">
        <f t="shared" si="13"/>
        <v>1997</v>
      </c>
      <c r="G328" s="1">
        <v>35473</v>
      </c>
      <c r="H328" s="1">
        <v>35454</v>
      </c>
      <c r="I328">
        <v>1</v>
      </c>
      <c r="J328" t="str">
        <f t="shared" si="14"/>
        <v>UPS</v>
      </c>
      <c r="K328">
        <v>0.2</v>
      </c>
      <c r="L328" t="s">
        <v>54</v>
      </c>
      <c r="M328" t="s">
        <v>316</v>
      </c>
      <c r="N328" t="s">
        <v>317</v>
      </c>
      <c r="O328" t="s">
        <v>288</v>
      </c>
      <c r="P328" t="s">
        <v>318</v>
      </c>
      <c r="Q328" t="s">
        <v>290</v>
      </c>
    </row>
    <row r="329" spans="2:17" customFormat="1" ht="15" hidden="1" x14ac:dyDescent="0.25">
      <c r="B329">
        <v>10600</v>
      </c>
      <c r="C329" t="s">
        <v>314</v>
      </c>
      <c r="D329" s="1">
        <v>35627</v>
      </c>
      <c r="E329" s="1" t="str">
        <f t="shared" si="12"/>
        <v>jul</v>
      </c>
      <c r="F329" s="1" t="str">
        <f t="shared" si="13"/>
        <v>1997</v>
      </c>
      <c r="G329" s="1">
        <v>35655</v>
      </c>
      <c r="H329" s="1">
        <v>35632</v>
      </c>
      <c r="I329">
        <v>1</v>
      </c>
      <c r="J329" t="str">
        <f t="shared" si="14"/>
        <v>UPS</v>
      </c>
      <c r="K329">
        <v>45.13</v>
      </c>
      <c r="L329" t="s">
        <v>54</v>
      </c>
      <c r="M329" t="s">
        <v>316</v>
      </c>
      <c r="N329" t="s">
        <v>317</v>
      </c>
      <c r="O329" t="s">
        <v>288</v>
      </c>
      <c r="P329" t="s">
        <v>318</v>
      </c>
      <c r="Q329" t="s">
        <v>290</v>
      </c>
    </row>
    <row r="330" spans="2:17" customFormat="1" ht="15" hidden="1" x14ac:dyDescent="0.25">
      <c r="B330">
        <v>10660</v>
      </c>
      <c r="C330" t="s">
        <v>314</v>
      </c>
      <c r="D330" s="1">
        <v>35681</v>
      </c>
      <c r="E330" s="1" t="str">
        <f t="shared" si="12"/>
        <v>set</v>
      </c>
      <c r="F330" s="1" t="str">
        <f t="shared" si="13"/>
        <v>1997</v>
      </c>
      <c r="G330" s="1">
        <v>35709</v>
      </c>
      <c r="H330" s="1">
        <v>35718</v>
      </c>
      <c r="I330">
        <v>1</v>
      </c>
      <c r="J330" t="str">
        <f t="shared" si="14"/>
        <v>UPS</v>
      </c>
      <c r="K330">
        <v>111.29</v>
      </c>
      <c r="L330" t="s">
        <v>54</v>
      </c>
      <c r="M330" t="s">
        <v>316</v>
      </c>
      <c r="N330" t="s">
        <v>317</v>
      </c>
      <c r="O330" t="s">
        <v>288</v>
      </c>
      <c r="P330" t="s">
        <v>318</v>
      </c>
      <c r="Q330" t="s">
        <v>290</v>
      </c>
    </row>
    <row r="331" spans="2:17" customFormat="1" ht="15" hidden="1" x14ac:dyDescent="0.25">
      <c r="B331">
        <v>10298</v>
      </c>
      <c r="C331" t="s">
        <v>320</v>
      </c>
      <c r="D331" s="1">
        <v>35313</v>
      </c>
      <c r="E331" s="1" t="str">
        <f t="shared" si="12"/>
        <v>set</v>
      </c>
      <c r="F331" s="1" t="str">
        <f t="shared" si="13"/>
        <v>1996</v>
      </c>
      <c r="G331" s="1">
        <v>35341</v>
      </c>
      <c r="H331" s="1">
        <v>35319</v>
      </c>
      <c r="I331">
        <v>2</v>
      </c>
      <c r="J331" t="str">
        <f t="shared" si="14"/>
        <v>USPS</v>
      </c>
      <c r="K331">
        <v>168.22</v>
      </c>
      <c r="L331" t="s">
        <v>53</v>
      </c>
      <c r="M331" t="s">
        <v>321</v>
      </c>
      <c r="N331" t="s">
        <v>322</v>
      </c>
      <c r="O331" t="s">
        <v>323</v>
      </c>
      <c r="Q331" t="s">
        <v>324</v>
      </c>
    </row>
    <row r="332" spans="2:17" customFormat="1" ht="15" hidden="1" x14ac:dyDescent="0.25">
      <c r="B332">
        <v>10309</v>
      </c>
      <c r="C332" t="s">
        <v>320</v>
      </c>
      <c r="D332" s="1">
        <v>35327</v>
      </c>
      <c r="E332" s="1" t="str">
        <f t="shared" si="12"/>
        <v>set</v>
      </c>
      <c r="F332" s="1" t="str">
        <f t="shared" si="13"/>
        <v>1996</v>
      </c>
      <c r="G332" s="1">
        <v>35355</v>
      </c>
      <c r="H332" s="1">
        <v>35361</v>
      </c>
      <c r="I332">
        <v>1</v>
      </c>
      <c r="J332" t="str">
        <f t="shared" si="14"/>
        <v>UPS</v>
      </c>
      <c r="K332">
        <v>47.3</v>
      </c>
      <c r="L332" t="s">
        <v>53</v>
      </c>
      <c r="M332" t="s">
        <v>321</v>
      </c>
      <c r="N332" t="s">
        <v>322</v>
      </c>
      <c r="O332" t="s">
        <v>323</v>
      </c>
      <c r="Q332" t="s">
        <v>324</v>
      </c>
    </row>
    <row r="333" spans="2:17" customFormat="1" ht="15" hidden="1" x14ac:dyDescent="0.25">
      <c r="B333">
        <v>10335</v>
      </c>
      <c r="C333" t="s">
        <v>320</v>
      </c>
      <c r="D333" s="1">
        <v>35360</v>
      </c>
      <c r="E333" s="1" t="str">
        <f t="shared" si="12"/>
        <v>out</v>
      </c>
      <c r="F333" s="1" t="str">
        <f t="shared" si="13"/>
        <v>1996</v>
      </c>
      <c r="G333" s="1">
        <v>35388</v>
      </c>
      <c r="H333" s="1">
        <v>35362</v>
      </c>
      <c r="I333">
        <v>2</v>
      </c>
      <c r="J333" t="str">
        <f t="shared" si="14"/>
        <v>USPS</v>
      </c>
      <c r="K333">
        <v>42.11</v>
      </c>
      <c r="L333" t="s">
        <v>53</v>
      </c>
      <c r="M333" t="s">
        <v>321</v>
      </c>
      <c r="N333" t="s">
        <v>322</v>
      </c>
      <c r="O333" t="s">
        <v>323</v>
      </c>
      <c r="Q333" t="s">
        <v>324</v>
      </c>
    </row>
    <row r="334" spans="2:17" customFormat="1" ht="15" hidden="1" x14ac:dyDescent="0.25">
      <c r="B334">
        <v>10373</v>
      </c>
      <c r="C334" t="s">
        <v>320</v>
      </c>
      <c r="D334" s="1">
        <v>35404</v>
      </c>
      <c r="E334" s="1" t="str">
        <f t="shared" ref="E334:E397" si="15">TEXT(D334,"mmm")</f>
        <v>dez</v>
      </c>
      <c r="F334" s="1" t="str">
        <f t="shared" ref="F334:F397" si="16">TEXT(D334,"aaa")</f>
        <v>1996</v>
      </c>
      <c r="G334" s="1">
        <v>35432</v>
      </c>
      <c r="H334" s="1">
        <v>35410</v>
      </c>
      <c r="I334">
        <v>3</v>
      </c>
      <c r="J334" t="str">
        <f t="shared" ref="J334:J397" si="17">CHOOSE(I334,"UPS","USPS","DHL")</f>
        <v>DHL</v>
      </c>
      <c r="K334">
        <v>124.12</v>
      </c>
      <c r="L334" t="s">
        <v>53</v>
      </c>
      <c r="M334" t="s">
        <v>321</v>
      </c>
      <c r="N334" t="s">
        <v>322</v>
      </c>
      <c r="O334" t="s">
        <v>323</v>
      </c>
      <c r="Q334" t="s">
        <v>324</v>
      </c>
    </row>
    <row r="335" spans="2:17" customFormat="1" ht="15" hidden="1" x14ac:dyDescent="0.25">
      <c r="B335">
        <v>10380</v>
      </c>
      <c r="C335" t="s">
        <v>320</v>
      </c>
      <c r="D335" s="1">
        <v>35411</v>
      </c>
      <c r="E335" s="1" t="str">
        <f t="shared" si="15"/>
        <v>dez</v>
      </c>
      <c r="F335" s="1" t="str">
        <f t="shared" si="16"/>
        <v>1996</v>
      </c>
      <c r="G335" s="1">
        <v>35439</v>
      </c>
      <c r="H335" s="1">
        <v>35446</v>
      </c>
      <c r="I335">
        <v>3</v>
      </c>
      <c r="J335" t="str">
        <f t="shared" si="17"/>
        <v>DHL</v>
      </c>
      <c r="K335">
        <v>35.03</v>
      </c>
      <c r="L335" t="s">
        <v>53</v>
      </c>
      <c r="M335" t="s">
        <v>321</v>
      </c>
      <c r="N335" t="s">
        <v>322</v>
      </c>
      <c r="O335" t="s">
        <v>323</v>
      </c>
      <c r="Q335" t="s">
        <v>324</v>
      </c>
    </row>
    <row r="336" spans="2:17" customFormat="1" ht="15" hidden="1" x14ac:dyDescent="0.25">
      <c r="B336">
        <v>10429</v>
      </c>
      <c r="C336" t="s">
        <v>320</v>
      </c>
      <c r="D336" s="1">
        <v>35459</v>
      </c>
      <c r="E336" s="1" t="str">
        <f t="shared" si="15"/>
        <v>jan</v>
      </c>
      <c r="F336" s="1" t="str">
        <f t="shared" si="16"/>
        <v>1997</v>
      </c>
      <c r="G336" s="1">
        <v>35501</v>
      </c>
      <c r="H336" s="1">
        <v>35468</v>
      </c>
      <c r="I336">
        <v>2</v>
      </c>
      <c r="J336" t="str">
        <f t="shared" si="17"/>
        <v>USPS</v>
      </c>
      <c r="K336">
        <v>56.63</v>
      </c>
      <c r="L336" t="s">
        <v>53</v>
      </c>
      <c r="M336" t="s">
        <v>321</v>
      </c>
      <c r="N336" t="s">
        <v>322</v>
      </c>
      <c r="O336" t="s">
        <v>323</v>
      </c>
      <c r="Q336" t="s">
        <v>324</v>
      </c>
    </row>
    <row r="337" spans="2:17" customFormat="1" ht="15" hidden="1" x14ac:dyDescent="0.25">
      <c r="B337">
        <v>10503</v>
      </c>
      <c r="C337" t="s">
        <v>320</v>
      </c>
      <c r="D337" s="1">
        <v>35531</v>
      </c>
      <c r="E337" s="1" t="str">
        <f t="shared" si="15"/>
        <v>abr</v>
      </c>
      <c r="F337" s="1" t="str">
        <f t="shared" si="16"/>
        <v>1997</v>
      </c>
      <c r="G337" s="1">
        <v>35559</v>
      </c>
      <c r="H337" s="1">
        <v>35536</v>
      </c>
      <c r="I337">
        <v>2</v>
      </c>
      <c r="J337" t="str">
        <f t="shared" si="17"/>
        <v>USPS</v>
      </c>
      <c r="K337">
        <v>16.739999999999998</v>
      </c>
      <c r="L337" t="s">
        <v>53</v>
      </c>
      <c r="M337" t="s">
        <v>321</v>
      </c>
      <c r="N337" t="s">
        <v>322</v>
      </c>
      <c r="O337" t="s">
        <v>323</v>
      </c>
      <c r="Q337" t="s">
        <v>324</v>
      </c>
    </row>
    <row r="338" spans="2:17" customFormat="1" ht="15" hidden="1" x14ac:dyDescent="0.25">
      <c r="B338">
        <v>10516</v>
      </c>
      <c r="C338" t="s">
        <v>320</v>
      </c>
      <c r="D338" s="1">
        <v>35544</v>
      </c>
      <c r="E338" s="1" t="str">
        <f t="shared" si="15"/>
        <v>abr</v>
      </c>
      <c r="F338" s="1" t="str">
        <f t="shared" si="16"/>
        <v>1997</v>
      </c>
      <c r="G338" s="1">
        <v>35572</v>
      </c>
      <c r="H338" s="1">
        <v>35551</v>
      </c>
      <c r="I338">
        <v>3</v>
      </c>
      <c r="J338" t="str">
        <f t="shared" si="17"/>
        <v>DHL</v>
      </c>
      <c r="K338">
        <v>62.78</v>
      </c>
      <c r="L338" t="s">
        <v>53</v>
      </c>
      <c r="M338" t="s">
        <v>321</v>
      </c>
      <c r="N338" t="s">
        <v>322</v>
      </c>
      <c r="O338" t="s">
        <v>323</v>
      </c>
      <c r="Q338" t="s">
        <v>324</v>
      </c>
    </row>
    <row r="339" spans="2:17" customFormat="1" ht="15" hidden="1" x14ac:dyDescent="0.25">
      <c r="B339">
        <v>10567</v>
      </c>
      <c r="C339" t="s">
        <v>320</v>
      </c>
      <c r="D339" s="1">
        <v>35593</v>
      </c>
      <c r="E339" s="1" t="str">
        <f t="shared" si="15"/>
        <v>jun</v>
      </c>
      <c r="F339" s="1" t="str">
        <f t="shared" si="16"/>
        <v>1997</v>
      </c>
      <c r="G339" s="1">
        <v>35621</v>
      </c>
      <c r="H339" s="1">
        <v>35598</v>
      </c>
      <c r="I339">
        <v>1</v>
      </c>
      <c r="J339" t="str">
        <f t="shared" si="17"/>
        <v>UPS</v>
      </c>
      <c r="K339">
        <v>33.97</v>
      </c>
      <c r="L339" t="s">
        <v>53</v>
      </c>
      <c r="M339" t="s">
        <v>321</v>
      </c>
      <c r="N339" t="s">
        <v>322</v>
      </c>
      <c r="O339" t="s">
        <v>323</v>
      </c>
      <c r="Q339" t="s">
        <v>324</v>
      </c>
    </row>
    <row r="340" spans="2:17" customFormat="1" ht="15" hidden="1" x14ac:dyDescent="0.25">
      <c r="B340">
        <v>10646</v>
      </c>
      <c r="C340" t="s">
        <v>320</v>
      </c>
      <c r="D340" s="1">
        <v>35669</v>
      </c>
      <c r="E340" s="1" t="str">
        <f t="shared" si="15"/>
        <v>ago</v>
      </c>
      <c r="F340" s="1" t="str">
        <f t="shared" si="16"/>
        <v>1997</v>
      </c>
      <c r="G340" s="1">
        <v>35711</v>
      </c>
      <c r="H340" s="1">
        <v>35676</v>
      </c>
      <c r="I340">
        <v>3</v>
      </c>
      <c r="J340" t="str">
        <f t="shared" si="17"/>
        <v>DHL</v>
      </c>
      <c r="K340">
        <v>142.33000000000001</v>
      </c>
      <c r="L340" t="s">
        <v>53</v>
      </c>
      <c r="M340" t="s">
        <v>321</v>
      </c>
      <c r="N340" t="s">
        <v>322</v>
      </c>
      <c r="O340" t="s">
        <v>323</v>
      </c>
      <c r="Q340" t="s">
        <v>324</v>
      </c>
    </row>
    <row r="341" spans="2:17" customFormat="1" ht="15" hidden="1" x14ac:dyDescent="0.25">
      <c r="B341">
        <v>10661</v>
      </c>
      <c r="C341" t="s">
        <v>320</v>
      </c>
      <c r="D341" s="1">
        <v>35682</v>
      </c>
      <c r="E341" s="1" t="str">
        <f t="shared" si="15"/>
        <v>set</v>
      </c>
      <c r="F341" s="1" t="str">
        <f t="shared" si="16"/>
        <v>1997</v>
      </c>
      <c r="G341" s="1">
        <v>35710</v>
      </c>
      <c r="H341" s="1">
        <v>35688</v>
      </c>
      <c r="I341">
        <v>3</v>
      </c>
      <c r="J341" t="str">
        <f t="shared" si="17"/>
        <v>DHL</v>
      </c>
      <c r="K341">
        <v>17.55</v>
      </c>
      <c r="L341" t="s">
        <v>53</v>
      </c>
      <c r="M341" t="s">
        <v>321</v>
      </c>
      <c r="N341" t="s">
        <v>322</v>
      </c>
      <c r="O341" t="s">
        <v>323</v>
      </c>
      <c r="Q341" t="s">
        <v>324</v>
      </c>
    </row>
    <row r="342" spans="2:17" customFormat="1" ht="15" hidden="1" x14ac:dyDescent="0.25">
      <c r="B342">
        <v>10687</v>
      </c>
      <c r="C342" t="s">
        <v>320</v>
      </c>
      <c r="D342" s="1">
        <v>35703</v>
      </c>
      <c r="E342" s="1" t="str">
        <f t="shared" si="15"/>
        <v>set</v>
      </c>
      <c r="F342" s="1" t="str">
        <f t="shared" si="16"/>
        <v>1997</v>
      </c>
      <c r="G342" s="1">
        <v>35731</v>
      </c>
      <c r="H342" s="1">
        <v>35733</v>
      </c>
      <c r="I342">
        <v>2</v>
      </c>
      <c r="J342" t="str">
        <f t="shared" si="17"/>
        <v>USPS</v>
      </c>
      <c r="K342">
        <v>296.43</v>
      </c>
      <c r="L342" t="s">
        <v>53</v>
      </c>
      <c r="M342" t="s">
        <v>321</v>
      </c>
      <c r="N342" t="s">
        <v>322</v>
      </c>
      <c r="O342" t="s">
        <v>323</v>
      </c>
      <c r="Q342" t="s">
        <v>324</v>
      </c>
    </row>
    <row r="343" spans="2:17" customFormat="1" ht="15" hidden="1" x14ac:dyDescent="0.25">
      <c r="B343">
        <v>10701</v>
      </c>
      <c r="C343" t="s">
        <v>320</v>
      </c>
      <c r="D343" s="1">
        <v>35716</v>
      </c>
      <c r="E343" s="1" t="str">
        <f t="shared" si="15"/>
        <v>out</v>
      </c>
      <c r="F343" s="1" t="str">
        <f t="shared" si="16"/>
        <v>1997</v>
      </c>
      <c r="G343" s="1">
        <v>35730</v>
      </c>
      <c r="H343" s="1">
        <v>35718</v>
      </c>
      <c r="I343">
        <v>3</v>
      </c>
      <c r="J343" t="str">
        <f t="shared" si="17"/>
        <v>DHL</v>
      </c>
      <c r="K343">
        <v>220.31</v>
      </c>
      <c r="L343" t="s">
        <v>53</v>
      </c>
      <c r="M343" t="s">
        <v>321</v>
      </c>
      <c r="N343" t="s">
        <v>322</v>
      </c>
      <c r="O343" t="s">
        <v>323</v>
      </c>
      <c r="Q343" t="s">
        <v>324</v>
      </c>
    </row>
    <row r="344" spans="2:17" customFormat="1" ht="15" hidden="1" x14ac:dyDescent="0.25">
      <c r="B344">
        <v>10712</v>
      </c>
      <c r="C344" t="s">
        <v>320</v>
      </c>
      <c r="D344" s="1">
        <v>35724</v>
      </c>
      <c r="E344" s="1" t="str">
        <f t="shared" si="15"/>
        <v>out</v>
      </c>
      <c r="F344" s="1" t="str">
        <f t="shared" si="16"/>
        <v>1997</v>
      </c>
      <c r="G344" s="1">
        <v>35752</v>
      </c>
      <c r="H344" s="1">
        <v>35734</v>
      </c>
      <c r="I344">
        <v>1</v>
      </c>
      <c r="J344" t="str">
        <f t="shared" si="17"/>
        <v>UPS</v>
      </c>
      <c r="K344">
        <v>89.93</v>
      </c>
      <c r="L344" t="s">
        <v>53</v>
      </c>
      <c r="M344" t="s">
        <v>321</v>
      </c>
      <c r="N344" t="s">
        <v>322</v>
      </c>
      <c r="O344" t="s">
        <v>323</v>
      </c>
      <c r="Q344" t="s">
        <v>324</v>
      </c>
    </row>
    <row r="345" spans="2:17" customFormat="1" ht="15" hidden="1" x14ac:dyDescent="0.25">
      <c r="B345">
        <v>10736</v>
      </c>
      <c r="C345" t="s">
        <v>320</v>
      </c>
      <c r="D345" s="1">
        <v>35745</v>
      </c>
      <c r="E345" s="1" t="str">
        <f t="shared" si="15"/>
        <v>nov</v>
      </c>
      <c r="F345" s="1" t="str">
        <f t="shared" si="16"/>
        <v>1997</v>
      </c>
      <c r="G345" s="1">
        <v>35773</v>
      </c>
      <c r="H345" s="1">
        <v>35755</v>
      </c>
      <c r="I345">
        <v>2</v>
      </c>
      <c r="J345" t="str">
        <f t="shared" si="17"/>
        <v>USPS</v>
      </c>
      <c r="K345">
        <v>44.1</v>
      </c>
      <c r="L345" t="s">
        <v>53</v>
      </c>
      <c r="M345" t="s">
        <v>321</v>
      </c>
      <c r="N345" t="s">
        <v>322</v>
      </c>
      <c r="O345" t="s">
        <v>323</v>
      </c>
      <c r="Q345" t="s">
        <v>324</v>
      </c>
    </row>
    <row r="346" spans="2:17" customFormat="1" ht="15" hidden="1" x14ac:dyDescent="0.25">
      <c r="B346">
        <v>10897</v>
      </c>
      <c r="C346" t="s">
        <v>320</v>
      </c>
      <c r="D346" s="1">
        <v>35845</v>
      </c>
      <c r="E346" s="1" t="str">
        <f t="shared" si="15"/>
        <v>fev</v>
      </c>
      <c r="F346" s="1" t="str">
        <f t="shared" si="16"/>
        <v>1998</v>
      </c>
      <c r="G346" s="1">
        <v>35873</v>
      </c>
      <c r="H346" s="1">
        <v>35851</v>
      </c>
      <c r="I346">
        <v>2</v>
      </c>
      <c r="J346" t="str">
        <f t="shared" si="17"/>
        <v>USPS</v>
      </c>
      <c r="K346">
        <v>603.54</v>
      </c>
      <c r="L346" t="s">
        <v>53</v>
      </c>
      <c r="M346" t="s">
        <v>321</v>
      </c>
      <c r="N346" t="s">
        <v>322</v>
      </c>
      <c r="O346" t="s">
        <v>323</v>
      </c>
      <c r="Q346" t="s">
        <v>324</v>
      </c>
    </row>
    <row r="347" spans="2:17" customFormat="1" ht="15" hidden="1" x14ac:dyDescent="0.25">
      <c r="B347">
        <v>10912</v>
      </c>
      <c r="C347" t="s">
        <v>320</v>
      </c>
      <c r="D347" s="1">
        <v>35852</v>
      </c>
      <c r="E347" s="1" t="str">
        <f t="shared" si="15"/>
        <v>fev</v>
      </c>
      <c r="F347" s="1" t="str">
        <f t="shared" si="16"/>
        <v>1998</v>
      </c>
      <c r="G347" s="1">
        <v>35880</v>
      </c>
      <c r="H347" s="1">
        <v>35872</v>
      </c>
      <c r="I347">
        <v>2</v>
      </c>
      <c r="J347" t="str">
        <f t="shared" si="17"/>
        <v>USPS</v>
      </c>
      <c r="K347">
        <v>580.91</v>
      </c>
      <c r="L347" t="s">
        <v>53</v>
      </c>
      <c r="M347" t="s">
        <v>321</v>
      </c>
      <c r="N347" t="s">
        <v>322</v>
      </c>
      <c r="O347" t="s">
        <v>323</v>
      </c>
      <c r="Q347" t="s">
        <v>324</v>
      </c>
    </row>
    <row r="348" spans="2:17" customFormat="1" ht="15" hidden="1" x14ac:dyDescent="0.25">
      <c r="B348">
        <v>10985</v>
      </c>
      <c r="C348" t="s">
        <v>320</v>
      </c>
      <c r="D348" s="1">
        <v>35884</v>
      </c>
      <c r="E348" s="1" t="str">
        <f t="shared" si="15"/>
        <v>mar</v>
      </c>
      <c r="F348" s="1" t="str">
        <f t="shared" si="16"/>
        <v>1998</v>
      </c>
      <c r="G348" s="1">
        <v>35912</v>
      </c>
      <c r="H348" s="1">
        <v>35887</v>
      </c>
      <c r="I348">
        <v>1</v>
      </c>
      <c r="J348" t="str">
        <f t="shared" si="17"/>
        <v>UPS</v>
      </c>
      <c r="K348">
        <v>91.51</v>
      </c>
      <c r="L348" t="s">
        <v>53</v>
      </c>
      <c r="M348" t="s">
        <v>321</v>
      </c>
      <c r="N348" t="s">
        <v>322</v>
      </c>
      <c r="O348" t="s">
        <v>323</v>
      </c>
      <c r="Q348" t="s">
        <v>324</v>
      </c>
    </row>
    <row r="349" spans="2:17" customFormat="1" ht="15" hidden="1" x14ac:dyDescent="0.25">
      <c r="B349">
        <v>11063</v>
      </c>
      <c r="C349" t="s">
        <v>320</v>
      </c>
      <c r="D349" s="1">
        <v>35915</v>
      </c>
      <c r="E349" s="1" t="str">
        <f t="shared" si="15"/>
        <v>abr</v>
      </c>
      <c r="F349" s="1" t="str">
        <f t="shared" si="16"/>
        <v>1998</v>
      </c>
      <c r="G349" s="1">
        <v>35943</v>
      </c>
      <c r="H349" s="1">
        <v>35921</v>
      </c>
      <c r="I349">
        <v>2</v>
      </c>
      <c r="J349" t="str">
        <f t="shared" si="17"/>
        <v>USPS</v>
      </c>
      <c r="K349">
        <v>81.73</v>
      </c>
      <c r="L349" t="s">
        <v>53</v>
      </c>
      <c r="M349" t="s">
        <v>321</v>
      </c>
      <c r="N349" t="s">
        <v>322</v>
      </c>
      <c r="O349" t="s">
        <v>323</v>
      </c>
      <c r="Q349" t="s">
        <v>324</v>
      </c>
    </row>
    <row r="350" spans="2:17" customFormat="1" ht="15" hidden="1" x14ac:dyDescent="0.25">
      <c r="B350">
        <v>10315</v>
      </c>
      <c r="C350" t="s">
        <v>326</v>
      </c>
      <c r="D350" s="1">
        <v>35334</v>
      </c>
      <c r="E350" s="1" t="str">
        <f t="shared" si="15"/>
        <v>set</v>
      </c>
      <c r="F350" s="1" t="str">
        <f t="shared" si="16"/>
        <v>1996</v>
      </c>
      <c r="G350" s="1">
        <v>35362</v>
      </c>
      <c r="H350" s="1">
        <v>35341</v>
      </c>
      <c r="I350">
        <v>2</v>
      </c>
      <c r="J350" t="str">
        <f t="shared" si="17"/>
        <v>USPS</v>
      </c>
      <c r="K350">
        <v>41.76</v>
      </c>
      <c r="L350" t="s">
        <v>52</v>
      </c>
      <c r="M350" t="s">
        <v>328</v>
      </c>
      <c r="N350" t="s">
        <v>329</v>
      </c>
      <c r="O350" t="s">
        <v>330</v>
      </c>
      <c r="P350" t="s">
        <v>331</v>
      </c>
      <c r="Q350" t="s">
        <v>113</v>
      </c>
    </row>
    <row r="351" spans="2:17" customFormat="1" ht="15" hidden="1" x14ac:dyDescent="0.25">
      <c r="B351">
        <v>10318</v>
      </c>
      <c r="C351" t="s">
        <v>326</v>
      </c>
      <c r="D351" s="1">
        <v>35339</v>
      </c>
      <c r="E351" s="1" t="str">
        <f t="shared" si="15"/>
        <v>out</v>
      </c>
      <c r="F351" s="1" t="str">
        <f t="shared" si="16"/>
        <v>1996</v>
      </c>
      <c r="G351" s="1">
        <v>35367</v>
      </c>
      <c r="H351" s="1">
        <v>35342</v>
      </c>
      <c r="I351">
        <v>2</v>
      </c>
      <c r="J351" t="str">
        <f t="shared" si="17"/>
        <v>USPS</v>
      </c>
      <c r="K351">
        <v>4.7300000000000004</v>
      </c>
      <c r="L351" t="s">
        <v>52</v>
      </c>
      <c r="M351" t="s">
        <v>328</v>
      </c>
      <c r="N351" t="s">
        <v>329</v>
      </c>
      <c r="O351" t="s">
        <v>330</v>
      </c>
      <c r="P351" t="s">
        <v>331</v>
      </c>
      <c r="Q351" t="s">
        <v>113</v>
      </c>
    </row>
    <row r="352" spans="2:17" customFormat="1" ht="15" hidden="1" x14ac:dyDescent="0.25">
      <c r="B352">
        <v>10321</v>
      </c>
      <c r="C352" t="s">
        <v>326</v>
      </c>
      <c r="D352" s="1">
        <v>35341</v>
      </c>
      <c r="E352" s="1" t="str">
        <f t="shared" si="15"/>
        <v>out</v>
      </c>
      <c r="F352" s="1" t="str">
        <f t="shared" si="16"/>
        <v>1996</v>
      </c>
      <c r="G352" s="1">
        <v>35369</v>
      </c>
      <c r="H352" s="1">
        <v>35349</v>
      </c>
      <c r="I352">
        <v>2</v>
      </c>
      <c r="J352" t="str">
        <f t="shared" si="17"/>
        <v>USPS</v>
      </c>
      <c r="K352">
        <v>3.43</v>
      </c>
      <c r="L352" t="s">
        <v>52</v>
      </c>
      <c r="M352" t="s">
        <v>328</v>
      </c>
      <c r="N352" t="s">
        <v>329</v>
      </c>
      <c r="O352" t="s">
        <v>330</v>
      </c>
      <c r="P352" t="s">
        <v>331</v>
      </c>
      <c r="Q352" t="s">
        <v>113</v>
      </c>
    </row>
    <row r="353" spans="2:17" customFormat="1" ht="15" hidden="1" x14ac:dyDescent="0.25">
      <c r="B353">
        <v>10473</v>
      </c>
      <c r="C353" t="s">
        <v>326</v>
      </c>
      <c r="D353" s="1">
        <v>35502</v>
      </c>
      <c r="E353" s="1" t="str">
        <f t="shared" si="15"/>
        <v>mar</v>
      </c>
      <c r="F353" s="1" t="str">
        <f t="shared" si="16"/>
        <v>1997</v>
      </c>
      <c r="G353" s="1">
        <v>35516</v>
      </c>
      <c r="H353" s="1">
        <v>35510</v>
      </c>
      <c r="I353">
        <v>3</v>
      </c>
      <c r="J353" t="str">
        <f t="shared" si="17"/>
        <v>DHL</v>
      </c>
      <c r="K353">
        <v>16.37</v>
      </c>
      <c r="L353" t="s">
        <v>52</v>
      </c>
      <c r="M353" t="s">
        <v>328</v>
      </c>
      <c r="N353" t="s">
        <v>329</v>
      </c>
      <c r="O353" t="s">
        <v>330</v>
      </c>
      <c r="P353" t="s">
        <v>331</v>
      </c>
      <c r="Q353" t="s">
        <v>113</v>
      </c>
    </row>
    <row r="354" spans="2:17" customFormat="1" ht="15" hidden="1" x14ac:dyDescent="0.25">
      <c r="B354">
        <v>10621</v>
      </c>
      <c r="C354" t="s">
        <v>326</v>
      </c>
      <c r="D354" s="1">
        <v>35647</v>
      </c>
      <c r="E354" s="1" t="str">
        <f t="shared" si="15"/>
        <v>ago</v>
      </c>
      <c r="F354" s="1" t="str">
        <f t="shared" si="16"/>
        <v>1997</v>
      </c>
      <c r="G354" s="1">
        <v>35675</v>
      </c>
      <c r="H354" s="1">
        <v>35653</v>
      </c>
      <c r="I354">
        <v>2</v>
      </c>
      <c r="J354" t="str">
        <f t="shared" si="17"/>
        <v>USPS</v>
      </c>
      <c r="K354">
        <v>23.73</v>
      </c>
      <c r="L354" t="s">
        <v>52</v>
      </c>
      <c r="M354" t="s">
        <v>328</v>
      </c>
      <c r="N354" t="s">
        <v>329</v>
      </c>
      <c r="O354" t="s">
        <v>330</v>
      </c>
      <c r="P354" t="s">
        <v>331</v>
      </c>
      <c r="Q354" t="s">
        <v>113</v>
      </c>
    </row>
    <row r="355" spans="2:17" customFormat="1" ht="15" hidden="1" x14ac:dyDescent="0.25">
      <c r="B355">
        <v>10674</v>
      </c>
      <c r="C355" t="s">
        <v>326</v>
      </c>
      <c r="D355" s="1">
        <v>35691</v>
      </c>
      <c r="E355" s="1" t="str">
        <f t="shared" si="15"/>
        <v>set</v>
      </c>
      <c r="F355" s="1" t="str">
        <f t="shared" si="16"/>
        <v>1997</v>
      </c>
      <c r="G355" s="1">
        <v>35719</v>
      </c>
      <c r="H355" s="1">
        <v>35703</v>
      </c>
      <c r="I355">
        <v>2</v>
      </c>
      <c r="J355" t="str">
        <f t="shared" si="17"/>
        <v>USPS</v>
      </c>
      <c r="K355">
        <v>0.9</v>
      </c>
      <c r="L355" t="s">
        <v>52</v>
      </c>
      <c r="M355" t="s">
        <v>328</v>
      </c>
      <c r="N355" t="s">
        <v>329</v>
      </c>
      <c r="O355" t="s">
        <v>330</v>
      </c>
      <c r="P355" t="s">
        <v>331</v>
      </c>
      <c r="Q355" t="s">
        <v>113</v>
      </c>
    </row>
    <row r="356" spans="2:17" customFormat="1" ht="15" hidden="1" x14ac:dyDescent="0.25">
      <c r="B356">
        <v>10749</v>
      </c>
      <c r="C356" t="s">
        <v>326</v>
      </c>
      <c r="D356" s="1">
        <v>35754</v>
      </c>
      <c r="E356" s="1" t="str">
        <f t="shared" si="15"/>
        <v>nov</v>
      </c>
      <c r="F356" s="1" t="str">
        <f t="shared" si="16"/>
        <v>1997</v>
      </c>
      <c r="G356" s="1">
        <v>35782</v>
      </c>
      <c r="H356" s="1">
        <v>35783</v>
      </c>
      <c r="I356">
        <v>2</v>
      </c>
      <c r="J356" t="str">
        <f t="shared" si="17"/>
        <v>USPS</v>
      </c>
      <c r="K356">
        <v>61.53</v>
      </c>
      <c r="L356" t="s">
        <v>52</v>
      </c>
      <c r="M356" t="s">
        <v>328</v>
      </c>
      <c r="N356" t="s">
        <v>329</v>
      </c>
      <c r="O356" t="s">
        <v>330</v>
      </c>
      <c r="P356" t="s">
        <v>331</v>
      </c>
      <c r="Q356" t="s">
        <v>113</v>
      </c>
    </row>
    <row r="357" spans="2:17" customFormat="1" ht="15" hidden="1" x14ac:dyDescent="0.25">
      <c r="B357">
        <v>10798</v>
      </c>
      <c r="C357" t="s">
        <v>326</v>
      </c>
      <c r="D357" s="1">
        <v>35790</v>
      </c>
      <c r="E357" s="1" t="str">
        <f t="shared" si="15"/>
        <v>dez</v>
      </c>
      <c r="F357" s="1" t="str">
        <f t="shared" si="16"/>
        <v>1997</v>
      </c>
      <c r="G357" s="1">
        <v>35818</v>
      </c>
      <c r="H357" s="1">
        <v>35800</v>
      </c>
      <c r="I357">
        <v>1</v>
      </c>
      <c r="J357" t="str">
        <f t="shared" si="17"/>
        <v>UPS</v>
      </c>
      <c r="K357">
        <v>2.33</v>
      </c>
      <c r="L357" t="s">
        <v>52</v>
      </c>
      <c r="M357" t="s">
        <v>328</v>
      </c>
      <c r="N357" t="s">
        <v>329</v>
      </c>
      <c r="O357" t="s">
        <v>330</v>
      </c>
      <c r="P357" t="s">
        <v>331</v>
      </c>
      <c r="Q357" t="s">
        <v>113</v>
      </c>
    </row>
    <row r="358" spans="2:17" customFormat="1" ht="15" hidden="1" x14ac:dyDescent="0.25">
      <c r="B358">
        <v>10829</v>
      </c>
      <c r="C358" t="s">
        <v>326</v>
      </c>
      <c r="D358" s="1">
        <v>35808</v>
      </c>
      <c r="E358" s="1" t="str">
        <f t="shared" si="15"/>
        <v>jan</v>
      </c>
      <c r="F358" s="1" t="str">
        <f t="shared" si="16"/>
        <v>1998</v>
      </c>
      <c r="G358" s="1">
        <v>35836</v>
      </c>
      <c r="H358" s="1">
        <v>35818</v>
      </c>
      <c r="I358">
        <v>1</v>
      </c>
      <c r="J358" t="str">
        <f t="shared" si="17"/>
        <v>UPS</v>
      </c>
      <c r="K358">
        <v>154.72</v>
      </c>
      <c r="L358" t="s">
        <v>52</v>
      </c>
      <c r="M358" t="s">
        <v>328</v>
      </c>
      <c r="N358" t="s">
        <v>329</v>
      </c>
      <c r="O358" t="s">
        <v>330</v>
      </c>
      <c r="P358" t="s">
        <v>331</v>
      </c>
      <c r="Q358" t="s">
        <v>113</v>
      </c>
    </row>
    <row r="359" spans="2:17" customFormat="1" ht="15" hidden="1" x14ac:dyDescent="0.25">
      <c r="B359">
        <v>10933</v>
      </c>
      <c r="C359" t="s">
        <v>326</v>
      </c>
      <c r="D359" s="1">
        <v>35860</v>
      </c>
      <c r="E359" s="1" t="str">
        <f t="shared" si="15"/>
        <v>mar</v>
      </c>
      <c r="F359" s="1" t="str">
        <f t="shared" si="16"/>
        <v>1998</v>
      </c>
      <c r="G359" s="1">
        <v>35888</v>
      </c>
      <c r="H359" s="1">
        <v>35870</v>
      </c>
      <c r="I359">
        <v>3</v>
      </c>
      <c r="J359" t="str">
        <f t="shared" si="17"/>
        <v>DHL</v>
      </c>
      <c r="K359">
        <v>54.15</v>
      </c>
      <c r="L359" t="s">
        <v>52</v>
      </c>
      <c r="M359" t="s">
        <v>328</v>
      </c>
      <c r="N359" t="s">
        <v>329</v>
      </c>
      <c r="O359" t="s">
        <v>330</v>
      </c>
      <c r="P359" t="s">
        <v>331</v>
      </c>
      <c r="Q359" t="s">
        <v>113</v>
      </c>
    </row>
    <row r="360" spans="2:17" customFormat="1" ht="15" hidden="1" x14ac:dyDescent="0.25">
      <c r="B360">
        <v>10323</v>
      </c>
      <c r="C360" t="s">
        <v>333</v>
      </c>
      <c r="D360" s="1">
        <v>35345</v>
      </c>
      <c r="E360" s="1" t="str">
        <f t="shared" si="15"/>
        <v>out</v>
      </c>
      <c r="F360" s="1" t="str">
        <f t="shared" si="16"/>
        <v>1996</v>
      </c>
      <c r="G360" s="1">
        <v>35373</v>
      </c>
      <c r="H360" s="1">
        <v>35352</v>
      </c>
      <c r="I360">
        <v>1</v>
      </c>
      <c r="J360" t="str">
        <f t="shared" si="17"/>
        <v>UPS</v>
      </c>
      <c r="K360">
        <v>4.88</v>
      </c>
      <c r="L360" t="s">
        <v>51</v>
      </c>
      <c r="M360" t="s">
        <v>334</v>
      </c>
      <c r="N360" t="s">
        <v>335</v>
      </c>
      <c r="P360" t="s">
        <v>336</v>
      </c>
      <c r="Q360" t="s">
        <v>94</v>
      </c>
    </row>
    <row r="361" spans="2:17" customFormat="1" ht="15" hidden="1" x14ac:dyDescent="0.25">
      <c r="B361">
        <v>10325</v>
      </c>
      <c r="C361" t="s">
        <v>333</v>
      </c>
      <c r="D361" s="1">
        <v>35347</v>
      </c>
      <c r="E361" s="1" t="str">
        <f t="shared" si="15"/>
        <v>out</v>
      </c>
      <c r="F361" s="1" t="str">
        <f t="shared" si="16"/>
        <v>1996</v>
      </c>
      <c r="G361" s="1">
        <v>35361</v>
      </c>
      <c r="H361" s="1">
        <v>35352</v>
      </c>
      <c r="I361">
        <v>3</v>
      </c>
      <c r="J361" t="str">
        <f t="shared" si="17"/>
        <v>DHL</v>
      </c>
      <c r="K361">
        <v>64.86</v>
      </c>
      <c r="L361" t="s">
        <v>51</v>
      </c>
      <c r="M361" t="s">
        <v>334</v>
      </c>
      <c r="N361" t="s">
        <v>335</v>
      </c>
      <c r="P361" t="s">
        <v>336</v>
      </c>
      <c r="Q361" t="s">
        <v>94</v>
      </c>
    </row>
    <row r="362" spans="2:17" customFormat="1" ht="15" hidden="1" x14ac:dyDescent="0.25">
      <c r="B362">
        <v>10456</v>
      </c>
      <c r="C362" t="s">
        <v>333</v>
      </c>
      <c r="D362" s="1">
        <v>35486</v>
      </c>
      <c r="E362" s="1" t="str">
        <f t="shared" si="15"/>
        <v>fev</v>
      </c>
      <c r="F362" s="1" t="str">
        <f t="shared" si="16"/>
        <v>1997</v>
      </c>
      <c r="G362" s="1">
        <v>35528</v>
      </c>
      <c r="H362" s="1">
        <v>35489</v>
      </c>
      <c r="I362">
        <v>2</v>
      </c>
      <c r="J362" t="str">
        <f t="shared" si="17"/>
        <v>USPS</v>
      </c>
      <c r="K362">
        <v>8.1199999999999992</v>
      </c>
      <c r="L362" t="s">
        <v>51</v>
      </c>
      <c r="M362" t="s">
        <v>334</v>
      </c>
      <c r="N362" t="s">
        <v>335</v>
      </c>
      <c r="P362" t="s">
        <v>336</v>
      </c>
      <c r="Q362" t="s">
        <v>94</v>
      </c>
    </row>
    <row r="363" spans="2:17" customFormat="1" ht="15" hidden="1" x14ac:dyDescent="0.25">
      <c r="B363">
        <v>10457</v>
      </c>
      <c r="C363" t="s">
        <v>333</v>
      </c>
      <c r="D363" s="1">
        <v>35486</v>
      </c>
      <c r="E363" s="1" t="str">
        <f t="shared" si="15"/>
        <v>fev</v>
      </c>
      <c r="F363" s="1" t="str">
        <f t="shared" si="16"/>
        <v>1997</v>
      </c>
      <c r="G363" s="1">
        <v>35514</v>
      </c>
      <c r="H363" s="1">
        <v>35492</v>
      </c>
      <c r="I363">
        <v>1</v>
      </c>
      <c r="J363" t="str">
        <f t="shared" si="17"/>
        <v>UPS</v>
      </c>
      <c r="K363">
        <v>11.57</v>
      </c>
      <c r="L363" t="s">
        <v>51</v>
      </c>
      <c r="M363" t="s">
        <v>334</v>
      </c>
      <c r="N363" t="s">
        <v>335</v>
      </c>
      <c r="P363" t="s">
        <v>336</v>
      </c>
      <c r="Q363" t="s">
        <v>94</v>
      </c>
    </row>
    <row r="364" spans="2:17" customFormat="1" ht="15" hidden="1" x14ac:dyDescent="0.25">
      <c r="B364">
        <v>10468</v>
      </c>
      <c r="C364" t="s">
        <v>333</v>
      </c>
      <c r="D364" s="1">
        <v>35496</v>
      </c>
      <c r="E364" s="1" t="str">
        <f t="shared" si="15"/>
        <v>mar</v>
      </c>
      <c r="F364" s="1" t="str">
        <f t="shared" si="16"/>
        <v>1997</v>
      </c>
      <c r="G364" s="1">
        <v>35524</v>
      </c>
      <c r="H364" s="1">
        <v>35501</v>
      </c>
      <c r="I364">
        <v>3</v>
      </c>
      <c r="J364" t="str">
        <f t="shared" si="17"/>
        <v>DHL</v>
      </c>
      <c r="K364">
        <v>44.12</v>
      </c>
      <c r="L364" t="s">
        <v>51</v>
      </c>
      <c r="M364" t="s">
        <v>334</v>
      </c>
      <c r="N364" t="s">
        <v>335</v>
      </c>
      <c r="P364" t="s">
        <v>336</v>
      </c>
      <c r="Q364" t="s">
        <v>94</v>
      </c>
    </row>
    <row r="365" spans="2:17" customFormat="1" ht="15" hidden="1" x14ac:dyDescent="0.25">
      <c r="B365">
        <v>10506</v>
      </c>
      <c r="C365" t="s">
        <v>333</v>
      </c>
      <c r="D365" s="1">
        <v>35535</v>
      </c>
      <c r="E365" s="1" t="str">
        <f t="shared" si="15"/>
        <v>abr</v>
      </c>
      <c r="F365" s="1" t="str">
        <f t="shared" si="16"/>
        <v>1997</v>
      </c>
      <c r="G365" s="1">
        <v>35563</v>
      </c>
      <c r="H365" s="1">
        <v>35552</v>
      </c>
      <c r="I365">
        <v>2</v>
      </c>
      <c r="J365" t="str">
        <f t="shared" si="17"/>
        <v>USPS</v>
      </c>
      <c r="K365">
        <v>21.19</v>
      </c>
      <c r="L365" t="s">
        <v>51</v>
      </c>
      <c r="M365" t="s">
        <v>334</v>
      </c>
      <c r="N365" t="s">
        <v>335</v>
      </c>
      <c r="P365" t="s">
        <v>336</v>
      </c>
      <c r="Q365" t="s">
        <v>94</v>
      </c>
    </row>
    <row r="366" spans="2:17" customFormat="1" ht="15" hidden="1" x14ac:dyDescent="0.25">
      <c r="B366">
        <v>10542</v>
      </c>
      <c r="C366" t="s">
        <v>333</v>
      </c>
      <c r="D366" s="1">
        <v>35570</v>
      </c>
      <c r="E366" s="1" t="str">
        <f t="shared" si="15"/>
        <v>mai</v>
      </c>
      <c r="F366" s="1" t="str">
        <f t="shared" si="16"/>
        <v>1997</v>
      </c>
      <c r="G366" s="1">
        <v>35598</v>
      </c>
      <c r="H366" s="1">
        <v>35576</v>
      </c>
      <c r="I366">
        <v>3</v>
      </c>
      <c r="J366" t="str">
        <f t="shared" si="17"/>
        <v>DHL</v>
      </c>
      <c r="K366">
        <v>10.95</v>
      </c>
      <c r="L366" t="s">
        <v>51</v>
      </c>
      <c r="M366" t="s">
        <v>334</v>
      </c>
      <c r="N366" t="s">
        <v>335</v>
      </c>
      <c r="P366" t="s">
        <v>336</v>
      </c>
      <c r="Q366" t="s">
        <v>94</v>
      </c>
    </row>
    <row r="367" spans="2:17" customFormat="1" ht="15" hidden="1" x14ac:dyDescent="0.25">
      <c r="B367">
        <v>10630</v>
      </c>
      <c r="C367" t="s">
        <v>333</v>
      </c>
      <c r="D367" s="1">
        <v>35655</v>
      </c>
      <c r="E367" s="1" t="str">
        <f t="shared" si="15"/>
        <v>ago</v>
      </c>
      <c r="F367" s="1" t="str">
        <f t="shared" si="16"/>
        <v>1997</v>
      </c>
      <c r="G367" s="1">
        <v>35683</v>
      </c>
      <c r="H367" s="1">
        <v>35661</v>
      </c>
      <c r="I367">
        <v>2</v>
      </c>
      <c r="J367" t="str">
        <f t="shared" si="17"/>
        <v>USPS</v>
      </c>
      <c r="K367">
        <v>32.35</v>
      </c>
      <c r="L367" t="s">
        <v>51</v>
      </c>
      <c r="M367" t="s">
        <v>334</v>
      </c>
      <c r="N367" t="s">
        <v>335</v>
      </c>
      <c r="P367" t="s">
        <v>336</v>
      </c>
      <c r="Q367" t="s">
        <v>94</v>
      </c>
    </row>
    <row r="368" spans="2:17" customFormat="1" ht="15" hidden="1" x14ac:dyDescent="0.25">
      <c r="B368">
        <v>10718</v>
      </c>
      <c r="C368" t="s">
        <v>333</v>
      </c>
      <c r="D368" s="1">
        <v>35730</v>
      </c>
      <c r="E368" s="1" t="str">
        <f t="shared" si="15"/>
        <v>out</v>
      </c>
      <c r="F368" s="1" t="str">
        <f t="shared" si="16"/>
        <v>1997</v>
      </c>
      <c r="G368" s="1">
        <v>35758</v>
      </c>
      <c r="H368" s="1">
        <v>35732</v>
      </c>
      <c r="I368">
        <v>3</v>
      </c>
      <c r="J368" t="str">
        <f t="shared" si="17"/>
        <v>DHL</v>
      </c>
      <c r="K368">
        <v>170.88</v>
      </c>
      <c r="L368" t="s">
        <v>51</v>
      </c>
      <c r="M368" t="s">
        <v>334</v>
      </c>
      <c r="N368" t="s">
        <v>335</v>
      </c>
      <c r="P368" t="s">
        <v>336</v>
      </c>
      <c r="Q368" t="s">
        <v>94</v>
      </c>
    </row>
    <row r="369" spans="2:17" customFormat="1" ht="15" hidden="1" x14ac:dyDescent="0.25">
      <c r="B369">
        <v>10799</v>
      </c>
      <c r="C369" t="s">
        <v>333</v>
      </c>
      <c r="D369" s="1">
        <v>35790</v>
      </c>
      <c r="E369" s="1" t="str">
        <f t="shared" si="15"/>
        <v>dez</v>
      </c>
      <c r="F369" s="1" t="str">
        <f t="shared" si="16"/>
        <v>1997</v>
      </c>
      <c r="G369" s="1">
        <v>35832</v>
      </c>
      <c r="H369" s="1">
        <v>35800</v>
      </c>
      <c r="I369">
        <v>3</v>
      </c>
      <c r="J369" t="str">
        <f t="shared" si="17"/>
        <v>DHL</v>
      </c>
      <c r="K369">
        <v>30.76</v>
      </c>
      <c r="L369" t="s">
        <v>51</v>
      </c>
      <c r="M369" t="s">
        <v>334</v>
      </c>
      <c r="N369" t="s">
        <v>335</v>
      </c>
      <c r="P369" t="s">
        <v>336</v>
      </c>
      <c r="Q369" t="s">
        <v>94</v>
      </c>
    </row>
    <row r="370" spans="2:17" customFormat="1" ht="15" hidden="1" x14ac:dyDescent="0.25">
      <c r="B370">
        <v>10817</v>
      </c>
      <c r="C370" t="s">
        <v>333</v>
      </c>
      <c r="D370" s="1">
        <v>35801</v>
      </c>
      <c r="E370" s="1" t="str">
        <f t="shared" si="15"/>
        <v>jan</v>
      </c>
      <c r="F370" s="1" t="str">
        <f t="shared" si="16"/>
        <v>1998</v>
      </c>
      <c r="G370" s="1">
        <v>35815</v>
      </c>
      <c r="H370" s="1">
        <v>35808</v>
      </c>
      <c r="I370">
        <v>2</v>
      </c>
      <c r="J370" t="str">
        <f t="shared" si="17"/>
        <v>USPS</v>
      </c>
      <c r="K370">
        <v>306.07</v>
      </c>
      <c r="L370" t="s">
        <v>51</v>
      </c>
      <c r="M370" t="s">
        <v>334</v>
      </c>
      <c r="N370" t="s">
        <v>335</v>
      </c>
      <c r="P370" t="s">
        <v>336</v>
      </c>
      <c r="Q370" t="s">
        <v>94</v>
      </c>
    </row>
    <row r="371" spans="2:17" customFormat="1" ht="15" hidden="1" x14ac:dyDescent="0.25">
      <c r="B371">
        <v>10849</v>
      </c>
      <c r="C371" t="s">
        <v>333</v>
      </c>
      <c r="D371" s="1">
        <v>35818</v>
      </c>
      <c r="E371" s="1" t="str">
        <f t="shared" si="15"/>
        <v>jan</v>
      </c>
      <c r="F371" s="1" t="str">
        <f t="shared" si="16"/>
        <v>1998</v>
      </c>
      <c r="G371" s="1">
        <v>35846</v>
      </c>
      <c r="H371" s="1">
        <v>35825</v>
      </c>
      <c r="I371">
        <v>2</v>
      </c>
      <c r="J371" t="str">
        <f t="shared" si="17"/>
        <v>USPS</v>
      </c>
      <c r="K371">
        <v>0.56000000000000005</v>
      </c>
      <c r="L371" t="s">
        <v>51</v>
      </c>
      <c r="M371" t="s">
        <v>334</v>
      </c>
      <c r="N371" t="s">
        <v>335</v>
      </c>
      <c r="P371" t="s">
        <v>336</v>
      </c>
      <c r="Q371" t="s">
        <v>94</v>
      </c>
    </row>
    <row r="372" spans="2:17" customFormat="1" ht="15" hidden="1" x14ac:dyDescent="0.25">
      <c r="B372">
        <v>10893</v>
      </c>
      <c r="C372" t="s">
        <v>333</v>
      </c>
      <c r="D372" s="1">
        <v>35844</v>
      </c>
      <c r="E372" s="1" t="str">
        <f t="shared" si="15"/>
        <v>fev</v>
      </c>
      <c r="F372" s="1" t="str">
        <f t="shared" si="16"/>
        <v>1998</v>
      </c>
      <c r="G372" s="1">
        <v>35872</v>
      </c>
      <c r="H372" s="1">
        <v>35846</v>
      </c>
      <c r="I372">
        <v>2</v>
      </c>
      <c r="J372" t="str">
        <f t="shared" si="17"/>
        <v>USPS</v>
      </c>
      <c r="K372">
        <v>77.78</v>
      </c>
      <c r="L372" t="s">
        <v>51</v>
      </c>
      <c r="M372" t="s">
        <v>334</v>
      </c>
      <c r="N372" t="s">
        <v>335</v>
      </c>
      <c r="P372" t="s">
        <v>336</v>
      </c>
      <c r="Q372" t="s">
        <v>94</v>
      </c>
    </row>
    <row r="373" spans="2:17" customFormat="1" ht="15" hidden="1" x14ac:dyDescent="0.25">
      <c r="B373">
        <v>11028</v>
      </c>
      <c r="C373" t="s">
        <v>333</v>
      </c>
      <c r="D373" s="1">
        <v>35901</v>
      </c>
      <c r="E373" s="1" t="str">
        <f t="shared" si="15"/>
        <v>abr</v>
      </c>
      <c r="F373" s="1" t="str">
        <f t="shared" si="16"/>
        <v>1998</v>
      </c>
      <c r="G373" s="1">
        <v>35929</v>
      </c>
      <c r="H373" s="1">
        <v>35907</v>
      </c>
      <c r="I373">
        <v>1</v>
      </c>
      <c r="J373" t="str">
        <f t="shared" si="17"/>
        <v>UPS</v>
      </c>
      <c r="K373">
        <v>29.59</v>
      </c>
      <c r="L373" t="s">
        <v>51</v>
      </c>
      <c r="M373" t="s">
        <v>334</v>
      </c>
      <c r="N373" t="s">
        <v>335</v>
      </c>
      <c r="P373" t="s">
        <v>336</v>
      </c>
      <c r="Q373" t="s">
        <v>94</v>
      </c>
    </row>
    <row r="374" spans="2:17" customFormat="1" ht="15" hidden="1" x14ac:dyDescent="0.25">
      <c r="B374">
        <v>10858</v>
      </c>
      <c r="C374" t="s">
        <v>338</v>
      </c>
      <c r="D374" s="1">
        <v>35824</v>
      </c>
      <c r="E374" s="1" t="str">
        <f t="shared" si="15"/>
        <v>jan</v>
      </c>
      <c r="F374" s="1" t="str">
        <f t="shared" si="16"/>
        <v>1998</v>
      </c>
      <c r="G374" s="1">
        <v>35852</v>
      </c>
      <c r="H374" s="1">
        <v>35829</v>
      </c>
      <c r="I374">
        <v>1</v>
      </c>
      <c r="J374" t="str">
        <f t="shared" si="17"/>
        <v>UPS</v>
      </c>
      <c r="K374">
        <v>52.51</v>
      </c>
      <c r="L374" t="s">
        <v>50</v>
      </c>
      <c r="M374" t="s">
        <v>340</v>
      </c>
      <c r="N374" t="s">
        <v>341</v>
      </c>
      <c r="P374" t="s">
        <v>342</v>
      </c>
      <c r="Q374" t="s">
        <v>134</v>
      </c>
    </row>
    <row r="375" spans="2:17" customFormat="1" ht="15" hidden="1" x14ac:dyDescent="0.25">
      <c r="B375">
        <v>10927</v>
      </c>
      <c r="C375" t="s">
        <v>338</v>
      </c>
      <c r="D375" s="1">
        <v>35859</v>
      </c>
      <c r="E375" s="1" t="str">
        <f t="shared" si="15"/>
        <v>mar</v>
      </c>
      <c r="F375" s="1" t="str">
        <f t="shared" si="16"/>
        <v>1998</v>
      </c>
      <c r="G375" s="1">
        <v>35887</v>
      </c>
      <c r="H375" s="1">
        <v>35893</v>
      </c>
      <c r="I375">
        <v>1</v>
      </c>
      <c r="J375" t="str">
        <f t="shared" si="17"/>
        <v>UPS</v>
      </c>
      <c r="K375">
        <v>19.79</v>
      </c>
      <c r="L375" t="s">
        <v>50</v>
      </c>
      <c r="M375" t="s">
        <v>340</v>
      </c>
      <c r="N375" t="s">
        <v>341</v>
      </c>
      <c r="P375" t="s">
        <v>342</v>
      </c>
      <c r="Q375" t="s">
        <v>134</v>
      </c>
    </row>
    <row r="376" spans="2:17" customFormat="1" ht="15" hidden="1" x14ac:dyDescent="0.25">
      <c r="B376">
        <v>10972</v>
      </c>
      <c r="C376" t="s">
        <v>338</v>
      </c>
      <c r="D376" s="1">
        <v>35878</v>
      </c>
      <c r="E376" s="1" t="str">
        <f t="shared" si="15"/>
        <v>mar</v>
      </c>
      <c r="F376" s="1" t="str">
        <f t="shared" si="16"/>
        <v>1998</v>
      </c>
      <c r="G376" s="1">
        <v>35906</v>
      </c>
      <c r="H376" s="1">
        <v>35880</v>
      </c>
      <c r="I376">
        <v>2</v>
      </c>
      <c r="J376" t="str">
        <f t="shared" si="17"/>
        <v>USPS</v>
      </c>
      <c r="K376">
        <v>0.02</v>
      </c>
      <c r="L376" t="s">
        <v>50</v>
      </c>
      <c r="M376" t="s">
        <v>340</v>
      </c>
      <c r="N376" t="s">
        <v>341</v>
      </c>
      <c r="P376" t="s">
        <v>342</v>
      </c>
      <c r="Q376" t="s">
        <v>134</v>
      </c>
    </row>
    <row r="377" spans="2:17" customFormat="1" ht="15" hidden="1" x14ac:dyDescent="0.25">
      <c r="B377">
        <v>10973</v>
      </c>
      <c r="C377" t="s">
        <v>338</v>
      </c>
      <c r="D377" s="1">
        <v>35878</v>
      </c>
      <c r="E377" s="1" t="str">
        <f t="shared" si="15"/>
        <v>mar</v>
      </c>
      <c r="F377" s="1" t="str">
        <f t="shared" si="16"/>
        <v>1998</v>
      </c>
      <c r="G377" s="1">
        <v>35906</v>
      </c>
      <c r="H377" s="1">
        <v>35881</v>
      </c>
      <c r="I377">
        <v>2</v>
      </c>
      <c r="J377" t="str">
        <f t="shared" si="17"/>
        <v>USPS</v>
      </c>
      <c r="K377">
        <v>15.17</v>
      </c>
      <c r="L377" t="s">
        <v>50</v>
      </c>
      <c r="M377" t="s">
        <v>340</v>
      </c>
      <c r="N377" t="s">
        <v>341</v>
      </c>
      <c r="P377" t="s">
        <v>342</v>
      </c>
      <c r="Q377" t="s">
        <v>134</v>
      </c>
    </row>
    <row r="378" spans="2:17" customFormat="1" ht="15" hidden="1" x14ac:dyDescent="0.25">
      <c r="B378">
        <v>10350</v>
      </c>
      <c r="C378" t="s">
        <v>344</v>
      </c>
      <c r="D378" s="1">
        <v>35380</v>
      </c>
      <c r="E378" s="1" t="str">
        <f t="shared" si="15"/>
        <v>nov</v>
      </c>
      <c r="F378" s="1" t="str">
        <f t="shared" si="16"/>
        <v>1996</v>
      </c>
      <c r="G378" s="1">
        <v>35408</v>
      </c>
      <c r="H378" s="1">
        <v>35402</v>
      </c>
      <c r="I378">
        <v>2</v>
      </c>
      <c r="J378" t="str">
        <f t="shared" si="17"/>
        <v>USPS</v>
      </c>
      <c r="K378">
        <v>64.19</v>
      </c>
      <c r="L378" t="s">
        <v>49</v>
      </c>
      <c r="M378" t="s">
        <v>346</v>
      </c>
      <c r="N378" t="s">
        <v>347</v>
      </c>
      <c r="P378" t="s">
        <v>348</v>
      </c>
      <c r="Q378" t="s">
        <v>134</v>
      </c>
    </row>
    <row r="379" spans="2:17" customFormat="1" ht="15" hidden="1" x14ac:dyDescent="0.25">
      <c r="B379">
        <v>10358</v>
      </c>
      <c r="C379" t="s">
        <v>344</v>
      </c>
      <c r="D379" s="1">
        <v>35389</v>
      </c>
      <c r="E379" s="1" t="str">
        <f t="shared" si="15"/>
        <v>nov</v>
      </c>
      <c r="F379" s="1" t="str">
        <f t="shared" si="16"/>
        <v>1996</v>
      </c>
      <c r="G379" s="1">
        <v>35417</v>
      </c>
      <c r="H379" s="1">
        <v>35396</v>
      </c>
      <c r="I379">
        <v>1</v>
      </c>
      <c r="J379" t="str">
        <f t="shared" si="17"/>
        <v>UPS</v>
      </c>
      <c r="K379">
        <v>19.64</v>
      </c>
      <c r="L379" t="s">
        <v>49</v>
      </c>
      <c r="M379" t="s">
        <v>346</v>
      </c>
      <c r="N379" t="s">
        <v>347</v>
      </c>
      <c r="P379" t="s">
        <v>348</v>
      </c>
      <c r="Q379" t="s">
        <v>134</v>
      </c>
    </row>
    <row r="380" spans="2:17" customFormat="1" ht="15" hidden="1" x14ac:dyDescent="0.25">
      <c r="B380">
        <v>10371</v>
      </c>
      <c r="C380" t="s">
        <v>344</v>
      </c>
      <c r="D380" s="1">
        <v>35402</v>
      </c>
      <c r="E380" s="1" t="str">
        <f t="shared" si="15"/>
        <v>dez</v>
      </c>
      <c r="F380" s="1" t="str">
        <f t="shared" si="16"/>
        <v>1996</v>
      </c>
      <c r="G380" s="1">
        <v>35430</v>
      </c>
      <c r="H380" s="1">
        <v>35423</v>
      </c>
      <c r="I380">
        <v>1</v>
      </c>
      <c r="J380" t="str">
        <f t="shared" si="17"/>
        <v>UPS</v>
      </c>
      <c r="K380">
        <v>0.45</v>
      </c>
      <c r="L380" t="s">
        <v>49</v>
      </c>
      <c r="M380" t="s">
        <v>346</v>
      </c>
      <c r="N380" t="s">
        <v>347</v>
      </c>
      <c r="P380" t="s">
        <v>348</v>
      </c>
      <c r="Q380" t="s">
        <v>134</v>
      </c>
    </row>
    <row r="381" spans="2:17" customFormat="1" ht="15" hidden="1" x14ac:dyDescent="0.25">
      <c r="B381">
        <v>10413</v>
      </c>
      <c r="C381" t="s">
        <v>344</v>
      </c>
      <c r="D381" s="1">
        <v>35444</v>
      </c>
      <c r="E381" s="1" t="str">
        <f t="shared" si="15"/>
        <v>jan</v>
      </c>
      <c r="F381" s="1" t="str">
        <f t="shared" si="16"/>
        <v>1997</v>
      </c>
      <c r="G381" s="1">
        <v>35472</v>
      </c>
      <c r="H381" s="1">
        <v>35446</v>
      </c>
      <c r="I381">
        <v>2</v>
      </c>
      <c r="J381" t="str">
        <f t="shared" si="17"/>
        <v>USPS</v>
      </c>
      <c r="K381">
        <v>95.66</v>
      </c>
      <c r="L381" t="s">
        <v>49</v>
      </c>
      <c r="M381" t="s">
        <v>346</v>
      </c>
      <c r="N381" t="s">
        <v>347</v>
      </c>
      <c r="P381" t="s">
        <v>348</v>
      </c>
      <c r="Q381" t="s">
        <v>134</v>
      </c>
    </row>
    <row r="382" spans="2:17" customFormat="1" ht="15" hidden="1" x14ac:dyDescent="0.25">
      <c r="B382">
        <v>10425</v>
      </c>
      <c r="C382" t="s">
        <v>344</v>
      </c>
      <c r="D382" s="1">
        <v>35454</v>
      </c>
      <c r="E382" s="1" t="str">
        <f t="shared" si="15"/>
        <v>jan</v>
      </c>
      <c r="F382" s="1" t="str">
        <f t="shared" si="16"/>
        <v>1997</v>
      </c>
      <c r="G382" s="1">
        <v>35482</v>
      </c>
      <c r="H382" s="1">
        <v>35475</v>
      </c>
      <c r="I382">
        <v>2</v>
      </c>
      <c r="J382" t="str">
        <f t="shared" si="17"/>
        <v>USPS</v>
      </c>
      <c r="K382">
        <v>7.93</v>
      </c>
      <c r="L382" t="s">
        <v>49</v>
      </c>
      <c r="M382" t="s">
        <v>346</v>
      </c>
      <c r="N382" t="s">
        <v>347</v>
      </c>
      <c r="P382" t="s">
        <v>348</v>
      </c>
      <c r="Q382" t="s">
        <v>134</v>
      </c>
    </row>
    <row r="383" spans="2:17" customFormat="1" ht="15" hidden="1" x14ac:dyDescent="0.25">
      <c r="B383">
        <v>10454</v>
      </c>
      <c r="C383" t="s">
        <v>344</v>
      </c>
      <c r="D383" s="1">
        <v>35482</v>
      </c>
      <c r="E383" s="1" t="str">
        <f t="shared" si="15"/>
        <v>fev</v>
      </c>
      <c r="F383" s="1" t="str">
        <f t="shared" si="16"/>
        <v>1997</v>
      </c>
      <c r="G383" s="1">
        <v>35510</v>
      </c>
      <c r="H383" s="1">
        <v>35486</v>
      </c>
      <c r="I383">
        <v>3</v>
      </c>
      <c r="J383" t="str">
        <f t="shared" si="17"/>
        <v>DHL</v>
      </c>
      <c r="K383">
        <v>2.74</v>
      </c>
      <c r="L383" t="s">
        <v>49</v>
      </c>
      <c r="M383" t="s">
        <v>346</v>
      </c>
      <c r="N383" t="s">
        <v>347</v>
      </c>
      <c r="P383" t="s">
        <v>348</v>
      </c>
      <c r="Q383" t="s">
        <v>134</v>
      </c>
    </row>
    <row r="384" spans="2:17" customFormat="1" ht="15" hidden="1" x14ac:dyDescent="0.25">
      <c r="B384">
        <v>10493</v>
      </c>
      <c r="C384" t="s">
        <v>344</v>
      </c>
      <c r="D384" s="1">
        <v>35522</v>
      </c>
      <c r="E384" s="1" t="str">
        <f t="shared" si="15"/>
        <v>abr</v>
      </c>
      <c r="F384" s="1" t="str">
        <f t="shared" si="16"/>
        <v>1997</v>
      </c>
      <c r="G384" s="1">
        <v>35550</v>
      </c>
      <c r="H384" s="1">
        <v>35530</v>
      </c>
      <c r="I384">
        <v>3</v>
      </c>
      <c r="J384" t="str">
        <f t="shared" si="17"/>
        <v>DHL</v>
      </c>
      <c r="K384">
        <v>10.64</v>
      </c>
      <c r="L384" t="s">
        <v>49</v>
      </c>
      <c r="M384" t="s">
        <v>346</v>
      </c>
      <c r="N384" t="s">
        <v>347</v>
      </c>
      <c r="P384" t="s">
        <v>348</v>
      </c>
      <c r="Q384" t="s">
        <v>134</v>
      </c>
    </row>
    <row r="385" spans="2:17" customFormat="1" ht="15" hidden="1" x14ac:dyDescent="0.25">
      <c r="B385">
        <v>10500</v>
      </c>
      <c r="C385" t="s">
        <v>344</v>
      </c>
      <c r="D385" s="1">
        <v>35529</v>
      </c>
      <c r="E385" s="1" t="str">
        <f t="shared" si="15"/>
        <v>abr</v>
      </c>
      <c r="F385" s="1" t="str">
        <f t="shared" si="16"/>
        <v>1997</v>
      </c>
      <c r="G385" s="1">
        <v>35557</v>
      </c>
      <c r="H385" s="1">
        <v>35537</v>
      </c>
      <c r="I385">
        <v>1</v>
      </c>
      <c r="J385" t="str">
        <f t="shared" si="17"/>
        <v>UPS</v>
      </c>
      <c r="K385">
        <v>42.68</v>
      </c>
      <c r="L385" t="s">
        <v>49</v>
      </c>
      <c r="M385" t="s">
        <v>346</v>
      </c>
      <c r="N385" t="s">
        <v>347</v>
      </c>
      <c r="P385" t="s">
        <v>348</v>
      </c>
      <c r="Q385" t="s">
        <v>134</v>
      </c>
    </row>
    <row r="386" spans="2:17" customFormat="1" ht="15" hidden="1" x14ac:dyDescent="0.25">
      <c r="B386">
        <v>10610</v>
      </c>
      <c r="C386" t="s">
        <v>344</v>
      </c>
      <c r="D386" s="1">
        <v>35636</v>
      </c>
      <c r="E386" s="1" t="str">
        <f t="shared" si="15"/>
        <v>jul</v>
      </c>
      <c r="F386" s="1" t="str">
        <f t="shared" si="16"/>
        <v>1997</v>
      </c>
      <c r="G386" s="1">
        <v>35664</v>
      </c>
      <c r="H386" s="1">
        <v>35648</v>
      </c>
      <c r="I386">
        <v>1</v>
      </c>
      <c r="J386" t="str">
        <f t="shared" si="17"/>
        <v>UPS</v>
      </c>
      <c r="K386">
        <v>26.78</v>
      </c>
      <c r="L386" t="s">
        <v>49</v>
      </c>
      <c r="M386" t="s">
        <v>346</v>
      </c>
      <c r="N386" t="s">
        <v>347</v>
      </c>
      <c r="P386" t="s">
        <v>348</v>
      </c>
      <c r="Q386" t="s">
        <v>134</v>
      </c>
    </row>
    <row r="387" spans="2:17" customFormat="1" ht="15" hidden="1" x14ac:dyDescent="0.25">
      <c r="B387">
        <v>10631</v>
      </c>
      <c r="C387" t="s">
        <v>344</v>
      </c>
      <c r="D387" s="1">
        <v>35656</v>
      </c>
      <c r="E387" s="1" t="str">
        <f t="shared" si="15"/>
        <v>ago</v>
      </c>
      <c r="F387" s="1" t="str">
        <f t="shared" si="16"/>
        <v>1997</v>
      </c>
      <c r="G387" s="1">
        <v>35684</v>
      </c>
      <c r="H387" s="1">
        <v>35657</v>
      </c>
      <c r="I387">
        <v>1</v>
      </c>
      <c r="J387" t="str">
        <f t="shared" si="17"/>
        <v>UPS</v>
      </c>
      <c r="K387">
        <v>0.87</v>
      </c>
      <c r="L387" t="s">
        <v>49</v>
      </c>
      <c r="M387" t="s">
        <v>346</v>
      </c>
      <c r="N387" t="s">
        <v>347</v>
      </c>
      <c r="P387" t="s">
        <v>348</v>
      </c>
      <c r="Q387" t="s">
        <v>134</v>
      </c>
    </row>
    <row r="388" spans="2:17" customFormat="1" ht="15" hidden="1" x14ac:dyDescent="0.25">
      <c r="B388">
        <v>10787</v>
      </c>
      <c r="C388" t="s">
        <v>344</v>
      </c>
      <c r="D388" s="1">
        <v>35783</v>
      </c>
      <c r="E388" s="1" t="str">
        <f t="shared" si="15"/>
        <v>dez</v>
      </c>
      <c r="F388" s="1" t="str">
        <f t="shared" si="16"/>
        <v>1997</v>
      </c>
      <c r="G388" s="1">
        <v>35797</v>
      </c>
      <c r="H388" s="1">
        <v>35790</v>
      </c>
      <c r="I388">
        <v>1</v>
      </c>
      <c r="J388" t="str">
        <f t="shared" si="17"/>
        <v>UPS</v>
      </c>
      <c r="K388">
        <v>249.93</v>
      </c>
      <c r="L388" t="s">
        <v>49</v>
      </c>
      <c r="M388" t="s">
        <v>346</v>
      </c>
      <c r="N388" t="s">
        <v>347</v>
      </c>
      <c r="P388" t="s">
        <v>348</v>
      </c>
      <c r="Q388" t="s">
        <v>134</v>
      </c>
    </row>
    <row r="389" spans="2:17" customFormat="1" ht="15" hidden="1" x14ac:dyDescent="0.25">
      <c r="B389">
        <v>10832</v>
      </c>
      <c r="C389" t="s">
        <v>344</v>
      </c>
      <c r="D389" s="1">
        <v>35809</v>
      </c>
      <c r="E389" s="1" t="str">
        <f t="shared" si="15"/>
        <v>jan</v>
      </c>
      <c r="F389" s="1" t="str">
        <f t="shared" si="16"/>
        <v>1998</v>
      </c>
      <c r="G389" s="1">
        <v>35837</v>
      </c>
      <c r="H389" s="1">
        <v>35814</v>
      </c>
      <c r="I389">
        <v>2</v>
      </c>
      <c r="J389" t="str">
        <f t="shared" si="17"/>
        <v>USPS</v>
      </c>
      <c r="K389">
        <v>43.26</v>
      </c>
      <c r="L389" t="s">
        <v>49</v>
      </c>
      <c r="M389" t="s">
        <v>346</v>
      </c>
      <c r="N389" t="s">
        <v>347</v>
      </c>
      <c r="P389" t="s">
        <v>348</v>
      </c>
      <c r="Q389" t="s">
        <v>134</v>
      </c>
    </row>
    <row r="390" spans="2:17" customFormat="1" ht="15" hidden="1" x14ac:dyDescent="0.25">
      <c r="B390">
        <v>10923</v>
      </c>
      <c r="C390" t="s">
        <v>344</v>
      </c>
      <c r="D390" s="1">
        <v>35857</v>
      </c>
      <c r="E390" s="1" t="str">
        <f t="shared" si="15"/>
        <v>mar</v>
      </c>
      <c r="F390" s="1" t="str">
        <f t="shared" si="16"/>
        <v>1998</v>
      </c>
      <c r="G390" s="1">
        <v>35899</v>
      </c>
      <c r="H390" s="1">
        <v>35867</v>
      </c>
      <c r="I390">
        <v>3</v>
      </c>
      <c r="J390" t="str">
        <f t="shared" si="17"/>
        <v>DHL</v>
      </c>
      <c r="K390">
        <v>68.260000000000005</v>
      </c>
      <c r="L390" t="s">
        <v>49</v>
      </c>
      <c r="M390" t="s">
        <v>346</v>
      </c>
      <c r="N390" t="s">
        <v>347</v>
      </c>
      <c r="P390" t="s">
        <v>348</v>
      </c>
      <c r="Q390" t="s">
        <v>134</v>
      </c>
    </row>
    <row r="391" spans="2:17" customFormat="1" ht="15" hidden="1" x14ac:dyDescent="0.25">
      <c r="B391">
        <v>11051</v>
      </c>
      <c r="C391" t="s">
        <v>344</v>
      </c>
      <c r="D391" s="1">
        <v>35912</v>
      </c>
      <c r="E391" s="1" t="str">
        <f t="shared" si="15"/>
        <v>abr</v>
      </c>
      <c r="F391" s="1" t="str">
        <f t="shared" si="16"/>
        <v>1998</v>
      </c>
      <c r="G391" s="1">
        <v>35940</v>
      </c>
      <c r="H391" s="1"/>
      <c r="I391">
        <v>3</v>
      </c>
      <c r="J391" t="str">
        <f t="shared" si="17"/>
        <v>DHL</v>
      </c>
      <c r="K391">
        <v>2.79</v>
      </c>
      <c r="L391" t="s">
        <v>49</v>
      </c>
      <c r="M391" t="s">
        <v>346</v>
      </c>
      <c r="N391" t="s">
        <v>347</v>
      </c>
      <c r="P391" t="s">
        <v>348</v>
      </c>
      <c r="Q391" t="s">
        <v>134</v>
      </c>
    </row>
    <row r="392" spans="2:17" customFormat="1" ht="15" hidden="1" x14ac:dyDescent="0.25">
      <c r="B392">
        <v>10495</v>
      </c>
      <c r="C392" t="s">
        <v>350</v>
      </c>
      <c r="D392" s="1">
        <v>35523</v>
      </c>
      <c r="E392" s="1" t="str">
        <f t="shared" si="15"/>
        <v>abr</v>
      </c>
      <c r="F392" s="1" t="str">
        <f t="shared" si="16"/>
        <v>1997</v>
      </c>
      <c r="G392" s="1">
        <v>35551</v>
      </c>
      <c r="H392" s="1">
        <v>35531</v>
      </c>
      <c r="I392">
        <v>3</v>
      </c>
      <c r="J392" t="str">
        <f t="shared" si="17"/>
        <v>DHL</v>
      </c>
      <c r="K392">
        <v>4.6500000000000004</v>
      </c>
      <c r="L392" t="s">
        <v>48</v>
      </c>
      <c r="M392" t="s">
        <v>666</v>
      </c>
      <c r="N392" t="s">
        <v>353</v>
      </c>
      <c r="O392" t="s">
        <v>154</v>
      </c>
      <c r="P392" t="s">
        <v>354</v>
      </c>
      <c r="Q392" t="s">
        <v>156</v>
      </c>
    </row>
    <row r="393" spans="2:17" customFormat="1" ht="15" hidden="1" x14ac:dyDescent="0.25">
      <c r="B393">
        <v>10620</v>
      </c>
      <c r="C393" t="s">
        <v>350</v>
      </c>
      <c r="D393" s="1">
        <v>35647</v>
      </c>
      <c r="E393" s="1" t="str">
        <f t="shared" si="15"/>
        <v>ago</v>
      </c>
      <c r="F393" s="1" t="str">
        <f t="shared" si="16"/>
        <v>1997</v>
      </c>
      <c r="G393" s="1">
        <v>35675</v>
      </c>
      <c r="H393" s="1">
        <v>35656</v>
      </c>
      <c r="I393">
        <v>3</v>
      </c>
      <c r="J393" t="str">
        <f t="shared" si="17"/>
        <v>DHL</v>
      </c>
      <c r="K393">
        <v>0.94</v>
      </c>
      <c r="L393" t="s">
        <v>48</v>
      </c>
      <c r="M393" t="s">
        <v>666</v>
      </c>
      <c r="N393" t="s">
        <v>353</v>
      </c>
      <c r="O393" t="s">
        <v>154</v>
      </c>
      <c r="P393" t="s">
        <v>354</v>
      </c>
      <c r="Q393" t="s">
        <v>156</v>
      </c>
    </row>
    <row r="394" spans="2:17" customFormat="1" ht="15" hidden="1" x14ac:dyDescent="0.25">
      <c r="B394">
        <v>10810</v>
      </c>
      <c r="C394" t="s">
        <v>350</v>
      </c>
      <c r="D394" s="1">
        <v>35796</v>
      </c>
      <c r="E394" s="1" t="str">
        <f t="shared" si="15"/>
        <v>jan</v>
      </c>
      <c r="F394" s="1" t="str">
        <f t="shared" si="16"/>
        <v>1998</v>
      </c>
      <c r="G394" s="1">
        <v>35824</v>
      </c>
      <c r="H394" s="1">
        <v>35802</v>
      </c>
      <c r="I394">
        <v>3</v>
      </c>
      <c r="J394" t="str">
        <f t="shared" si="17"/>
        <v>DHL</v>
      </c>
      <c r="K394">
        <v>4.33</v>
      </c>
      <c r="L394" t="s">
        <v>48</v>
      </c>
      <c r="M394" t="s">
        <v>666</v>
      </c>
      <c r="N394" t="s">
        <v>353</v>
      </c>
      <c r="O394" t="s">
        <v>154</v>
      </c>
      <c r="P394" t="s">
        <v>354</v>
      </c>
      <c r="Q394" t="s">
        <v>156</v>
      </c>
    </row>
    <row r="395" spans="2:17" customFormat="1" ht="15" hidden="1" x14ac:dyDescent="0.25">
      <c r="B395">
        <v>10482</v>
      </c>
      <c r="C395" t="s">
        <v>356</v>
      </c>
      <c r="D395" s="1">
        <v>35510</v>
      </c>
      <c r="E395" s="1" t="str">
        <f t="shared" si="15"/>
        <v>mar</v>
      </c>
      <c r="F395" s="1" t="str">
        <f t="shared" si="16"/>
        <v>1997</v>
      </c>
      <c r="G395" s="1">
        <v>35538</v>
      </c>
      <c r="H395" s="1">
        <v>35530</v>
      </c>
      <c r="I395">
        <v>3</v>
      </c>
      <c r="J395" t="str">
        <f t="shared" si="17"/>
        <v>DHL</v>
      </c>
      <c r="K395">
        <v>7.48</v>
      </c>
      <c r="L395" t="s">
        <v>47</v>
      </c>
      <c r="M395" t="s">
        <v>357</v>
      </c>
      <c r="N395" t="s">
        <v>358</v>
      </c>
      <c r="O395" t="s">
        <v>359</v>
      </c>
      <c r="P395" t="s">
        <v>360</v>
      </c>
      <c r="Q395" t="s">
        <v>290</v>
      </c>
    </row>
    <row r="396" spans="2:17" customFormat="1" ht="15" hidden="1" x14ac:dyDescent="0.25">
      <c r="B396">
        <v>10545</v>
      </c>
      <c r="C396" t="s">
        <v>356</v>
      </c>
      <c r="D396" s="1">
        <v>35572</v>
      </c>
      <c r="E396" s="1" t="str">
        <f t="shared" si="15"/>
        <v>mai</v>
      </c>
      <c r="F396" s="1" t="str">
        <f t="shared" si="16"/>
        <v>1997</v>
      </c>
      <c r="G396" s="1">
        <v>35600</v>
      </c>
      <c r="H396" s="1">
        <v>35607</v>
      </c>
      <c r="I396">
        <v>2</v>
      </c>
      <c r="J396" t="str">
        <f t="shared" si="17"/>
        <v>USPS</v>
      </c>
      <c r="K396">
        <v>11.92</v>
      </c>
      <c r="L396" t="s">
        <v>47</v>
      </c>
      <c r="M396" t="s">
        <v>357</v>
      </c>
      <c r="N396" t="s">
        <v>358</v>
      </c>
      <c r="O396" t="s">
        <v>359</v>
      </c>
      <c r="P396" t="s">
        <v>360</v>
      </c>
      <c r="Q396" t="s">
        <v>290</v>
      </c>
    </row>
    <row r="397" spans="2:17" customFormat="1" ht="15" hidden="1" x14ac:dyDescent="0.25">
      <c r="B397">
        <v>10279</v>
      </c>
      <c r="C397" t="s">
        <v>362</v>
      </c>
      <c r="D397" s="1">
        <v>35290</v>
      </c>
      <c r="E397" s="1" t="str">
        <f t="shared" si="15"/>
        <v>ago</v>
      </c>
      <c r="F397" s="1" t="str">
        <f t="shared" si="16"/>
        <v>1996</v>
      </c>
      <c r="G397" s="1">
        <v>35318</v>
      </c>
      <c r="H397" s="1">
        <v>35293</v>
      </c>
      <c r="I397">
        <v>2</v>
      </c>
      <c r="J397" t="str">
        <f t="shared" si="17"/>
        <v>USPS</v>
      </c>
      <c r="K397">
        <v>25.83</v>
      </c>
      <c r="L397" t="s">
        <v>46</v>
      </c>
      <c r="M397" t="s">
        <v>364</v>
      </c>
      <c r="N397" t="s">
        <v>365</v>
      </c>
      <c r="P397" t="s">
        <v>366</v>
      </c>
      <c r="Q397" t="s">
        <v>94</v>
      </c>
    </row>
    <row r="398" spans="2:17" customFormat="1" ht="15" hidden="1" x14ac:dyDescent="0.25">
      <c r="B398">
        <v>10284</v>
      </c>
      <c r="C398" t="s">
        <v>362</v>
      </c>
      <c r="D398" s="1">
        <v>35296</v>
      </c>
      <c r="E398" s="1" t="str">
        <f t="shared" ref="E398:E461" si="18">TEXT(D398,"mmm")</f>
        <v>ago</v>
      </c>
      <c r="F398" s="1" t="str">
        <f t="shared" ref="F398:F461" si="19">TEXT(D398,"aaa")</f>
        <v>1996</v>
      </c>
      <c r="G398" s="1">
        <v>35324</v>
      </c>
      <c r="H398" s="1">
        <v>35304</v>
      </c>
      <c r="I398">
        <v>1</v>
      </c>
      <c r="J398" t="str">
        <f t="shared" ref="J398:J461" si="20">CHOOSE(I398,"UPS","USPS","DHL")</f>
        <v>UPS</v>
      </c>
      <c r="K398">
        <v>76.56</v>
      </c>
      <c r="L398" t="s">
        <v>46</v>
      </c>
      <c r="M398" t="s">
        <v>364</v>
      </c>
      <c r="N398" t="s">
        <v>365</v>
      </c>
      <c r="P398" t="s">
        <v>366</v>
      </c>
      <c r="Q398" t="s">
        <v>94</v>
      </c>
    </row>
    <row r="399" spans="2:17" customFormat="1" ht="15" hidden="1" x14ac:dyDescent="0.25">
      <c r="B399">
        <v>10343</v>
      </c>
      <c r="C399" t="s">
        <v>362</v>
      </c>
      <c r="D399" s="1">
        <v>35369</v>
      </c>
      <c r="E399" s="1" t="str">
        <f t="shared" si="18"/>
        <v>out</v>
      </c>
      <c r="F399" s="1" t="str">
        <f t="shared" si="19"/>
        <v>1996</v>
      </c>
      <c r="G399" s="1">
        <v>35397</v>
      </c>
      <c r="H399" s="1">
        <v>35375</v>
      </c>
      <c r="I399">
        <v>1</v>
      </c>
      <c r="J399" t="str">
        <f t="shared" si="20"/>
        <v>UPS</v>
      </c>
      <c r="K399">
        <v>110.37</v>
      </c>
      <c r="L399" t="s">
        <v>46</v>
      </c>
      <c r="M399" t="s">
        <v>364</v>
      </c>
      <c r="N399" t="s">
        <v>365</v>
      </c>
      <c r="P399" t="s">
        <v>366</v>
      </c>
      <c r="Q399" t="s">
        <v>94</v>
      </c>
    </row>
    <row r="400" spans="2:17" customFormat="1" ht="15" hidden="1" x14ac:dyDescent="0.25">
      <c r="B400">
        <v>10497</v>
      </c>
      <c r="C400" t="s">
        <v>362</v>
      </c>
      <c r="D400" s="1">
        <v>35524</v>
      </c>
      <c r="E400" s="1" t="str">
        <f t="shared" si="18"/>
        <v>abr</v>
      </c>
      <c r="F400" s="1" t="str">
        <f t="shared" si="19"/>
        <v>1997</v>
      </c>
      <c r="G400" s="1">
        <v>35552</v>
      </c>
      <c r="H400" s="1">
        <v>35527</v>
      </c>
      <c r="I400">
        <v>1</v>
      </c>
      <c r="J400" t="str">
        <f t="shared" si="20"/>
        <v>UPS</v>
      </c>
      <c r="K400">
        <v>36.21</v>
      </c>
      <c r="L400" t="s">
        <v>46</v>
      </c>
      <c r="M400" t="s">
        <v>364</v>
      </c>
      <c r="N400" t="s">
        <v>365</v>
      </c>
      <c r="P400" t="s">
        <v>366</v>
      </c>
      <c r="Q400" t="s">
        <v>94</v>
      </c>
    </row>
    <row r="401" spans="2:17" customFormat="1" ht="15" hidden="1" x14ac:dyDescent="0.25">
      <c r="B401">
        <v>10522</v>
      </c>
      <c r="C401" t="s">
        <v>362</v>
      </c>
      <c r="D401" s="1">
        <v>35550</v>
      </c>
      <c r="E401" s="1" t="str">
        <f t="shared" si="18"/>
        <v>abr</v>
      </c>
      <c r="F401" s="1" t="str">
        <f t="shared" si="19"/>
        <v>1997</v>
      </c>
      <c r="G401" s="1">
        <v>35578</v>
      </c>
      <c r="H401" s="1">
        <v>35556</v>
      </c>
      <c r="I401">
        <v>1</v>
      </c>
      <c r="J401" t="str">
        <f t="shared" si="20"/>
        <v>UPS</v>
      </c>
      <c r="K401">
        <v>45.33</v>
      </c>
      <c r="L401" t="s">
        <v>46</v>
      </c>
      <c r="M401" t="s">
        <v>364</v>
      </c>
      <c r="N401" t="s">
        <v>365</v>
      </c>
      <c r="P401" t="s">
        <v>366</v>
      </c>
      <c r="Q401" t="s">
        <v>94</v>
      </c>
    </row>
    <row r="402" spans="2:17" customFormat="1" ht="15" hidden="1" x14ac:dyDescent="0.25">
      <c r="B402">
        <v>10534</v>
      </c>
      <c r="C402" t="s">
        <v>362</v>
      </c>
      <c r="D402" s="1">
        <v>35562</v>
      </c>
      <c r="E402" s="1" t="str">
        <f t="shared" si="18"/>
        <v>mai</v>
      </c>
      <c r="F402" s="1" t="str">
        <f t="shared" si="19"/>
        <v>1997</v>
      </c>
      <c r="G402" s="1">
        <v>35590</v>
      </c>
      <c r="H402" s="1">
        <v>35564</v>
      </c>
      <c r="I402">
        <v>2</v>
      </c>
      <c r="J402" t="str">
        <f t="shared" si="20"/>
        <v>USPS</v>
      </c>
      <c r="K402">
        <v>27.94</v>
      </c>
      <c r="L402" t="s">
        <v>46</v>
      </c>
      <c r="M402" t="s">
        <v>364</v>
      </c>
      <c r="N402" t="s">
        <v>365</v>
      </c>
      <c r="P402" t="s">
        <v>366</v>
      </c>
      <c r="Q402" t="s">
        <v>94</v>
      </c>
    </row>
    <row r="403" spans="2:17" customFormat="1" ht="15" hidden="1" x14ac:dyDescent="0.25">
      <c r="B403">
        <v>10536</v>
      </c>
      <c r="C403" t="s">
        <v>362</v>
      </c>
      <c r="D403" s="1">
        <v>35564</v>
      </c>
      <c r="E403" s="1" t="str">
        <f t="shared" si="18"/>
        <v>mai</v>
      </c>
      <c r="F403" s="1" t="str">
        <f t="shared" si="19"/>
        <v>1997</v>
      </c>
      <c r="G403" s="1">
        <v>35592</v>
      </c>
      <c r="H403" s="1">
        <v>35587</v>
      </c>
      <c r="I403">
        <v>2</v>
      </c>
      <c r="J403" t="str">
        <f t="shared" si="20"/>
        <v>USPS</v>
      </c>
      <c r="K403">
        <v>58.88</v>
      </c>
      <c r="L403" t="s">
        <v>46</v>
      </c>
      <c r="M403" t="s">
        <v>364</v>
      </c>
      <c r="N403" t="s">
        <v>365</v>
      </c>
      <c r="P403" t="s">
        <v>366</v>
      </c>
      <c r="Q403" t="s">
        <v>94</v>
      </c>
    </row>
    <row r="404" spans="2:17" customFormat="1" ht="15" hidden="1" x14ac:dyDescent="0.25">
      <c r="B404">
        <v>10557</v>
      </c>
      <c r="C404" t="s">
        <v>362</v>
      </c>
      <c r="D404" s="1">
        <v>35584</v>
      </c>
      <c r="E404" s="1" t="str">
        <f t="shared" si="18"/>
        <v>jun</v>
      </c>
      <c r="F404" s="1" t="str">
        <f t="shared" si="19"/>
        <v>1997</v>
      </c>
      <c r="G404" s="1">
        <v>35598</v>
      </c>
      <c r="H404" s="1">
        <v>35587</v>
      </c>
      <c r="I404">
        <v>2</v>
      </c>
      <c r="J404" t="str">
        <f t="shared" si="20"/>
        <v>USPS</v>
      </c>
      <c r="K404">
        <v>96.72</v>
      </c>
      <c r="L404" t="s">
        <v>46</v>
      </c>
      <c r="M404" t="s">
        <v>364</v>
      </c>
      <c r="N404" t="s">
        <v>365</v>
      </c>
      <c r="P404" t="s">
        <v>366</v>
      </c>
      <c r="Q404" t="s">
        <v>94</v>
      </c>
    </row>
    <row r="405" spans="2:17" customFormat="1" ht="15" hidden="1" x14ac:dyDescent="0.25">
      <c r="B405">
        <v>10592</v>
      </c>
      <c r="C405" t="s">
        <v>362</v>
      </c>
      <c r="D405" s="1">
        <v>35619</v>
      </c>
      <c r="E405" s="1" t="str">
        <f t="shared" si="18"/>
        <v>jul</v>
      </c>
      <c r="F405" s="1" t="str">
        <f t="shared" si="19"/>
        <v>1997</v>
      </c>
      <c r="G405" s="1">
        <v>35647</v>
      </c>
      <c r="H405" s="1">
        <v>35627</v>
      </c>
      <c r="I405">
        <v>1</v>
      </c>
      <c r="J405" t="str">
        <f t="shared" si="20"/>
        <v>UPS</v>
      </c>
      <c r="K405">
        <v>32.1</v>
      </c>
      <c r="L405" t="s">
        <v>46</v>
      </c>
      <c r="M405" t="s">
        <v>364</v>
      </c>
      <c r="N405" t="s">
        <v>365</v>
      </c>
      <c r="P405" t="s">
        <v>366</v>
      </c>
      <c r="Q405" t="s">
        <v>94</v>
      </c>
    </row>
    <row r="406" spans="2:17" customFormat="1" ht="15" hidden="1" x14ac:dyDescent="0.25">
      <c r="B406">
        <v>10593</v>
      </c>
      <c r="C406" t="s">
        <v>362</v>
      </c>
      <c r="D406" s="1">
        <v>35620</v>
      </c>
      <c r="E406" s="1" t="str">
        <f t="shared" si="18"/>
        <v>jul</v>
      </c>
      <c r="F406" s="1" t="str">
        <f t="shared" si="19"/>
        <v>1997</v>
      </c>
      <c r="G406" s="1">
        <v>35648</v>
      </c>
      <c r="H406" s="1">
        <v>35655</v>
      </c>
      <c r="I406">
        <v>2</v>
      </c>
      <c r="J406" t="str">
        <f t="shared" si="20"/>
        <v>USPS</v>
      </c>
      <c r="K406">
        <v>174.2</v>
      </c>
      <c r="L406" t="s">
        <v>46</v>
      </c>
      <c r="M406" t="s">
        <v>364</v>
      </c>
      <c r="N406" t="s">
        <v>365</v>
      </c>
      <c r="P406" t="s">
        <v>366</v>
      </c>
      <c r="Q406" t="s">
        <v>94</v>
      </c>
    </row>
    <row r="407" spans="2:17" customFormat="1" ht="15" hidden="1" x14ac:dyDescent="0.25">
      <c r="B407">
        <v>10772</v>
      </c>
      <c r="C407" t="s">
        <v>362</v>
      </c>
      <c r="D407" s="1">
        <v>35774</v>
      </c>
      <c r="E407" s="1" t="str">
        <f t="shared" si="18"/>
        <v>dez</v>
      </c>
      <c r="F407" s="1" t="str">
        <f t="shared" si="19"/>
        <v>1997</v>
      </c>
      <c r="G407" s="1">
        <v>35802</v>
      </c>
      <c r="H407" s="1">
        <v>35783</v>
      </c>
      <c r="I407">
        <v>2</v>
      </c>
      <c r="J407" t="str">
        <f t="shared" si="20"/>
        <v>USPS</v>
      </c>
      <c r="K407">
        <v>91.28</v>
      </c>
      <c r="L407" t="s">
        <v>46</v>
      </c>
      <c r="M407" t="s">
        <v>364</v>
      </c>
      <c r="N407" t="s">
        <v>365</v>
      </c>
      <c r="P407" t="s">
        <v>366</v>
      </c>
      <c r="Q407" t="s">
        <v>94</v>
      </c>
    </row>
    <row r="408" spans="2:17" customFormat="1" ht="15" hidden="1" x14ac:dyDescent="0.25">
      <c r="B408">
        <v>10862</v>
      </c>
      <c r="C408" t="s">
        <v>362</v>
      </c>
      <c r="D408" s="1">
        <v>35825</v>
      </c>
      <c r="E408" s="1" t="str">
        <f t="shared" si="18"/>
        <v>jan</v>
      </c>
      <c r="F408" s="1" t="str">
        <f t="shared" si="19"/>
        <v>1998</v>
      </c>
      <c r="G408" s="1">
        <v>35867</v>
      </c>
      <c r="H408" s="1">
        <v>35828</v>
      </c>
      <c r="I408">
        <v>2</v>
      </c>
      <c r="J408" t="str">
        <f t="shared" si="20"/>
        <v>USPS</v>
      </c>
      <c r="K408">
        <v>53.23</v>
      </c>
      <c r="L408" t="s">
        <v>46</v>
      </c>
      <c r="M408" t="s">
        <v>364</v>
      </c>
      <c r="N408" t="s">
        <v>365</v>
      </c>
      <c r="P408" t="s">
        <v>366</v>
      </c>
      <c r="Q408" t="s">
        <v>94</v>
      </c>
    </row>
    <row r="409" spans="2:17" customFormat="1" ht="15" hidden="1" x14ac:dyDescent="0.25">
      <c r="B409">
        <v>10891</v>
      </c>
      <c r="C409" t="s">
        <v>362</v>
      </c>
      <c r="D409" s="1">
        <v>35843</v>
      </c>
      <c r="E409" s="1" t="str">
        <f t="shared" si="18"/>
        <v>fev</v>
      </c>
      <c r="F409" s="1" t="str">
        <f t="shared" si="19"/>
        <v>1998</v>
      </c>
      <c r="G409" s="1">
        <v>35871</v>
      </c>
      <c r="H409" s="1">
        <v>35845</v>
      </c>
      <c r="I409">
        <v>2</v>
      </c>
      <c r="J409" t="str">
        <f t="shared" si="20"/>
        <v>USPS</v>
      </c>
      <c r="K409">
        <v>20.37</v>
      </c>
      <c r="L409" t="s">
        <v>46</v>
      </c>
      <c r="M409" t="s">
        <v>364</v>
      </c>
      <c r="N409" t="s">
        <v>365</v>
      </c>
      <c r="P409" t="s">
        <v>366</v>
      </c>
      <c r="Q409" t="s">
        <v>94</v>
      </c>
    </row>
    <row r="410" spans="2:17" customFormat="1" ht="15" hidden="1" x14ac:dyDescent="0.25">
      <c r="B410">
        <v>10934</v>
      </c>
      <c r="C410" t="s">
        <v>362</v>
      </c>
      <c r="D410" s="1">
        <v>35863</v>
      </c>
      <c r="E410" s="1" t="str">
        <f t="shared" si="18"/>
        <v>mar</v>
      </c>
      <c r="F410" s="1" t="str">
        <f t="shared" si="19"/>
        <v>1998</v>
      </c>
      <c r="G410" s="1">
        <v>35891</v>
      </c>
      <c r="H410" s="1">
        <v>35866</v>
      </c>
      <c r="I410">
        <v>3</v>
      </c>
      <c r="J410" t="str">
        <f t="shared" si="20"/>
        <v>DHL</v>
      </c>
      <c r="K410">
        <v>32.01</v>
      </c>
      <c r="L410" t="s">
        <v>46</v>
      </c>
      <c r="M410" t="s">
        <v>364</v>
      </c>
      <c r="N410" t="s">
        <v>365</v>
      </c>
      <c r="P410" t="s">
        <v>366</v>
      </c>
      <c r="Q410" t="s">
        <v>94</v>
      </c>
    </row>
    <row r="411" spans="2:17" customFormat="1" ht="15" hidden="1" x14ac:dyDescent="0.25">
      <c r="B411">
        <v>11070</v>
      </c>
      <c r="C411" t="s">
        <v>362</v>
      </c>
      <c r="D411" s="1">
        <v>35920</v>
      </c>
      <c r="E411" s="1" t="str">
        <f t="shared" si="18"/>
        <v>mai</v>
      </c>
      <c r="F411" s="1" t="str">
        <f t="shared" si="19"/>
        <v>1998</v>
      </c>
      <c r="G411" s="1">
        <v>35948</v>
      </c>
      <c r="H411" s="1"/>
      <c r="I411">
        <v>1</v>
      </c>
      <c r="J411" t="str">
        <f t="shared" si="20"/>
        <v>UPS</v>
      </c>
      <c r="K411">
        <v>136</v>
      </c>
      <c r="L411" t="s">
        <v>46</v>
      </c>
      <c r="M411" t="s">
        <v>364</v>
      </c>
      <c r="N411" t="s">
        <v>365</v>
      </c>
      <c r="P411" t="s">
        <v>366</v>
      </c>
      <c r="Q411" t="s">
        <v>94</v>
      </c>
    </row>
    <row r="412" spans="2:17" customFormat="1" ht="15" hidden="1" x14ac:dyDescent="0.25">
      <c r="B412">
        <v>10579</v>
      </c>
      <c r="C412" t="s">
        <v>368</v>
      </c>
      <c r="D412" s="1">
        <v>35606</v>
      </c>
      <c r="E412" s="1" t="str">
        <f t="shared" si="18"/>
        <v>jun</v>
      </c>
      <c r="F412" s="1" t="str">
        <f t="shared" si="19"/>
        <v>1997</v>
      </c>
      <c r="G412" s="1">
        <v>35634</v>
      </c>
      <c r="H412" s="1">
        <v>35615</v>
      </c>
      <c r="I412">
        <v>2</v>
      </c>
      <c r="J412" t="str">
        <f t="shared" si="20"/>
        <v>USPS</v>
      </c>
      <c r="K412">
        <v>13.73</v>
      </c>
      <c r="L412" t="s">
        <v>45</v>
      </c>
      <c r="M412" t="s">
        <v>370</v>
      </c>
      <c r="N412" t="s">
        <v>371</v>
      </c>
      <c r="O412" t="s">
        <v>372</v>
      </c>
      <c r="P412" t="s">
        <v>373</v>
      </c>
      <c r="Q412" t="s">
        <v>290</v>
      </c>
    </row>
    <row r="413" spans="2:17" customFormat="1" ht="15" hidden="1" x14ac:dyDescent="0.25">
      <c r="B413">
        <v>10719</v>
      </c>
      <c r="C413" t="s">
        <v>368</v>
      </c>
      <c r="D413" s="1">
        <v>35730</v>
      </c>
      <c r="E413" s="1" t="str">
        <f t="shared" si="18"/>
        <v>out</v>
      </c>
      <c r="F413" s="1" t="str">
        <f t="shared" si="19"/>
        <v>1997</v>
      </c>
      <c r="G413" s="1">
        <v>35758</v>
      </c>
      <c r="H413" s="1">
        <v>35739</v>
      </c>
      <c r="I413">
        <v>2</v>
      </c>
      <c r="J413" t="str">
        <f t="shared" si="20"/>
        <v>USPS</v>
      </c>
      <c r="K413">
        <v>51.44</v>
      </c>
      <c r="L413" t="s">
        <v>45</v>
      </c>
      <c r="M413" t="s">
        <v>370</v>
      </c>
      <c r="N413" t="s">
        <v>371</v>
      </c>
      <c r="O413" t="s">
        <v>372</v>
      </c>
      <c r="P413" t="s">
        <v>373</v>
      </c>
      <c r="Q413" t="s">
        <v>290</v>
      </c>
    </row>
    <row r="414" spans="2:17" customFormat="1" ht="15" hidden="1" x14ac:dyDescent="0.25">
      <c r="B414">
        <v>10735</v>
      </c>
      <c r="C414" t="s">
        <v>368</v>
      </c>
      <c r="D414" s="1">
        <v>35744</v>
      </c>
      <c r="E414" s="1" t="str">
        <f t="shared" si="18"/>
        <v>nov</v>
      </c>
      <c r="F414" s="1" t="str">
        <f t="shared" si="19"/>
        <v>1997</v>
      </c>
      <c r="G414" s="1">
        <v>35772</v>
      </c>
      <c r="H414" s="1">
        <v>35755</v>
      </c>
      <c r="I414">
        <v>2</v>
      </c>
      <c r="J414" t="str">
        <f t="shared" si="20"/>
        <v>USPS</v>
      </c>
      <c r="K414">
        <v>45.97</v>
      </c>
      <c r="L414" t="s">
        <v>45</v>
      </c>
      <c r="M414" t="s">
        <v>370</v>
      </c>
      <c r="N414" t="s">
        <v>371</v>
      </c>
      <c r="O414" t="s">
        <v>372</v>
      </c>
      <c r="P414" t="s">
        <v>373</v>
      </c>
      <c r="Q414" t="s">
        <v>290</v>
      </c>
    </row>
    <row r="415" spans="2:17" customFormat="1" ht="15" hidden="1" x14ac:dyDescent="0.25">
      <c r="B415">
        <v>10884</v>
      </c>
      <c r="C415" t="s">
        <v>368</v>
      </c>
      <c r="D415" s="1">
        <v>35838</v>
      </c>
      <c r="E415" s="1" t="str">
        <f t="shared" si="18"/>
        <v>fev</v>
      </c>
      <c r="F415" s="1" t="str">
        <f t="shared" si="19"/>
        <v>1998</v>
      </c>
      <c r="G415" s="1">
        <v>35866</v>
      </c>
      <c r="H415" s="1">
        <v>35839</v>
      </c>
      <c r="I415">
        <v>2</v>
      </c>
      <c r="J415" t="str">
        <f t="shared" si="20"/>
        <v>USPS</v>
      </c>
      <c r="K415">
        <v>90.97</v>
      </c>
      <c r="L415" t="s">
        <v>45</v>
      </c>
      <c r="M415" t="s">
        <v>370</v>
      </c>
      <c r="N415" t="s">
        <v>371</v>
      </c>
      <c r="O415" t="s">
        <v>372</v>
      </c>
      <c r="P415" t="s">
        <v>373</v>
      </c>
      <c r="Q415" t="s">
        <v>290</v>
      </c>
    </row>
    <row r="416" spans="2:17" customFormat="1" ht="15" hidden="1" x14ac:dyDescent="0.25">
      <c r="B416">
        <v>10283</v>
      </c>
      <c r="C416" t="s">
        <v>375</v>
      </c>
      <c r="D416" s="1">
        <v>35293</v>
      </c>
      <c r="E416" s="1" t="str">
        <f t="shared" si="18"/>
        <v>ago</v>
      </c>
      <c r="F416" s="1" t="str">
        <f t="shared" si="19"/>
        <v>1996</v>
      </c>
      <c r="G416" s="1">
        <v>35321</v>
      </c>
      <c r="H416" s="1">
        <v>35300</v>
      </c>
      <c r="I416">
        <v>3</v>
      </c>
      <c r="J416" t="str">
        <f t="shared" si="20"/>
        <v>DHL</v>
      </c>
      <c r="K416">
        <v>84.81</v>
      </c>
      <c r="L416" t="s">
        <v>44</v>
      </c>
      <c r="M416" t="s">
        <v>377</v>
      </c>
      <c r="N416" t="s">
        <v>378</v>
      </c>
      <c r="O416" t="s">
        <v>379</v>
      </c>
      <c r="P416" t="s">
        <v>380</v>
      </c>
      <c r="Q416" t="s">
        <v>298</v>
      </c>
    </row>
    <row r="417" spans="2:17" customFormat="1" ht="15" hidden="1" x14ac:dyDescent="0.25">
      <c r="B417">
        <v>10296</v>
      </c>
      <c r="C417" t="s">
        <v>375</v>
      </c>
      <c r="D417" s="1">
        <v>35311</v>
      </c>
      <c r="E417" s="1" t="str">
        <f t="shared" si="18"/>
        <v>set</v>
      </c>
      <c r="F417" s="1" t="str">
        <f t="shared" si="19"/>
        <v>1996</v>
      </c>
      <c r="G417" s="1">
        <v>35339</v>
      </c>
      <c r="H417" s="1">
        <v>35319</v>
      </c>
      <c r="I417">
        <v>1</v>
      </c>
      <c r="J417" t="str">
        <f t="shared" si="20"/>
        <v>UPS</v>
      </c>
      <c r="K417">
        <v>0.12</v>
      </c>
      <c r="L417" t="s">
        <v>44</v>
      </c>
      <c r="M417" t="s">
        <v>377</v>
      </c>
      <c r="N417" t="s">
        <v>378</v>
      </c>
      <c r="O417" t="s">
        <v>379</v>
      </c>
      <c r="P417" t="s">
        <v>380</v>
      </c>
      <c r="Q417" t="s">
        <v>298</v>
      </c>
    </row>
    <row r="418" spans="2:17" customFormat="1" ht="15" hidden="1" x14ac:dyDescent="0.25">
      <c r="B418">
        <v>10330</v>
      </c>
      <c r="C418" t="s">
        <v>375</v>
      </c>
      <c r="D418" s="1">
        <v>35354</v>
      </c>
      <c r="E418" s="1" t="str">
        <f t="shared" si="18"/>
        <v>out</v>
      </c>
      <c r="F418" s="1" t="str">
        <f t="shared" si="19"/>
        <v>1996</v>
      </c>
      <c r="G418" s="1">
        <v>35382</v>
      </c>
      <c r="H418" s="1">
        <v>35366</v>
      </c>
      <c r="I418">
        <v>1</v>
      </c>
      <c r="J418" t="str">
        <f t="shared" si="20"/>
        <v>UPS</v>
      </c>
      <c r="K418">
        <v>12.75</v>
      </c>
      <c r="L418" t="s">
        <v>44</v>
      </c>
      <c r="M418" t="s">
        <v>377</v>
      </c>
      <c r="N418" t="s">
        <v>378</v>
      </c>
      <c r="O418" t="s">
        <v>379</v>
      </c>
      <c r="P418" t="s">
        <v>380</v>
      </c>
      <c r="Q418" t="s">
        <v>298</v>
      </c>
    </row>
    <row r="419" spans="2:17" customFormat="1" ht="15" hidden="1" x14ac:dyDescent="0.25">
      <c r="B419">
        <v>10357</v>
      </c>
      <c r="C419" t="s">
        <v>375</v>
      </c>
      <c r="D419" s="1">
        <v>35388</v>
      </c>
      <c r="E419" s="1" t="str">
        <f t="shared" si="18"/>
        <v>nov</v>
      </c>
      <c r="F419" s="1" t="str">
        <f t="shared" si="19"/>
        <v>1996</v>
      </c>
      <c r="G419" s="1">
        <v>35416</v>
      </c>
      <c r="H419" s="1">
        <v>35401</v>
      </c>
      <c r="I419">
        <v>3</v>
      </c>
      <c r="J419" t="str">
        <f t="shared" si="20"/>
        <v>DHL</v>
      </c>
      <c r="K419">
        <v>34.880000000000003</v>
      </c>
      <c r="L419" t="s">
        <v>44</v>
      </c>
      <c r="M419" t="s">
        <v>377</v>
      </c>
      <c r="N419" t="s">
        <v>378</v>
      </c>
      <c r="O419" t="s">
        <v>379</v>
      </c>
      <c r="P419" t="s">
        <v>380</v>
      </c>
      <c r="Q419" t="s">
        <v>298</v>
      </c>
    </row>
    <row r="420" spans="2:17" customFormat="1" ht="15" hidden="1" x14ac:dyDescent="0.25">
      <c r="B420">
        <v>10381</v>
      </c>
      <c r="C420" t="s">
        <v>375</v>
      </c>
      <c r="D420" s="1">
        <v>35411</v>
      </c>
      <c r="E420" s="1" t="str">
        <f t="shared" si="18"/>
        <v>dez</v>
      </c>
      <c r="F420" s="1" t="str">
        <f t="shared" si="19"/>
        <v>1996</v>
      </c>
      <c r="G420" s="1">
        <v>35439</v>
      </c>
      <c r="H420" s="1">
        <v>35412</v>
      </c>
      <c r="I420">
        <v>3</v>
      </c>
      <c r="J420" t="str">
        <f t="shared" si="20"/>
        <v>DHL</v>
      </c>
      <c r="K420">
        <v>7.99</v>
      </c>
      <c r="L420" t="s">
        <v>44</v>
      </c>
      <c r="M420" t="s">
        <v>377</v>
      </c>
      <c r="N420" t="s">
        <v>378</v>
      </c>
      <c r="O420" t="s">
        <v>379</v>
      </c>
      <c r="P420" t="s">
        <v>380</v>
      </c>
      <c r="Q420" t="s">
        <v>298</v>
      </c>
    </row>
    <row r="421" spans="2:17" customFormat="1" ht="15" hidden="1" x14ac:dyDescent="0.25">
      <c r="B421">
        <v>10461</v>
      </c>
      <c r="C421" t="s">
        <v>375</v>
      </c>
      <c r="D421" s="1">
        <v>35489</v>
      </c>
      <c r="E421" s="1" t="str">
        <f t="shared" si="18"/>
        <v>fev</v>
      </c>
      <c r="F421" s="1" t="str">
        <f t="shared" si="19"/>
        <v>1997</v>
      </c>
      <c r="G421" s="1">
        <v>35517</v>
      </c>
      <c r="H421" s="1">
        <v>35494</v>
      </c>
      <c r="I421">
        <v>3</v>
      </c>
      <c r="J421" t="str">
        <f t="shared" si="20"/>
        <v>DHL</v>
      </c>
      <c r="K421">
        <v>148.61000000000001</v>
      </c>
      <c r="L421" t="s">
        <v>44</v>
      </c>
      <c r="M421" t="s">
        <v>377</v>
      </c>
      <c r="N421" t="s">
        <v>378</v>
      </c>
      <c r="O421" t="s">
        <v>379</v>
      </c>
      <c r="P421" t="s">
        <v>380</v>
      </c>
      <c r="Q421" t="s">
        <v>298</v>
      </c>
    </row>
    <row r="422" spans="2:17" customFormat="1" ht="15" hidden="1" x14ac:dyDescent="0.25">
      <c r="B422">
        <v>10499</v>
      </c>
      <c r="C422" t="s">
        <v>375</v>
      </c>
      <c r="D422" s="1">
        <v>35528</v>
      </c>
      <c r="E422" s="1" t="str">
        <f t="shared" si="18"/>
        <v>abr</v>
      </c>
      <c r="F422" s="1" t="str">
        <f t="shared" si="19"/>
        <v>1997</v>
      </c>
      <c r="G422" s="1">
        <v>35556</v>
      </c>
      <c r="H422" s="1">
        <v>35536</v>
      </c>
      <c r="I422">
        <v>2</v>
      </c>
      <c r="J422" t="str">
        <f t="shared" si="20"/>
        <v>USPS</v>
      </c>
      <c r="K422">
        <v>102.02</v>
      </c>
      <c r="L422" t="s">
        <v>44</v>
      </c>
      <c r="M422" t="s">
        <v>377</v>
      </c>
      <c r="N422" t="s">
        <v>378</v>
      </c>
      <c r="O422" t="s">
        <v>379</v>
      </c>
      <c r="P422" t="s">
        <v>380</v>
      </c>
      <c r="Q422" t="s">
        <v>298</v>
      </c>
    </row>
    <row r="423" spans="2:17" customFormat="1" ht="15" hidden="1" x14ac:dyDescent="0.25">
      <c r="B423">
        <v>10543</v>
      </c>
      <c r="C423" t="s">
        <v>375</v>
      </c>
      <c r="D423" s="1">
        <v>35571</v>
      </c>
      <c r="E423" s="1" t="str">
        <f t="shared" si="18"/>
        <v>mai</v>
      </c>
      <c r="F423" s="1" t="str">
        <f t="shared" si="19"/>
        <v>1997</v>
      </c>
      <c r="G423" s="1">
        <v>35599</v>
      </c>
      <c r="H423" s="1">
        <v>35573</v>
      </c>
      <c r="I423">
        <v>2</v>
      </c>
      <c r="J423" t="str">
        <f t="shared" si="20"/>
        <v>USPS</v>
      </c>
      <c r="K423">
        <v>48.17</v>
      </c>
      <c r="L423" t="s">
        <v>44</v>
      </c>
      <c r="M423" t="s">
        <v>377</v>
      </c>
      <c r="N423" t="s">
        <v>378</v>
      </c>
      <c r="O423" t="s">
        <v>379</v>
      </c>
      <c r="P423" t="s">
        <v>380</v>
      </c>
      <c r="Q423" t="s">
        <v>298</v>
      </c>
    </row>
    <row r="424" spans="2:17" customFormat="1" ht="15" hidden="1" x14ac:dyDescent="0.25">
      <c r="B424">
        <v>10780</v>
      </c>
      <c r="C424" t="s">
        <v>375</v>
      </c>
      <c r="D424" s="1">
        <v>35780</v>
      </c>
      <c r="E424" s="1" t="str">
        <f t="shared" si="18"/>
        <v>dez</v>
      </c>
      <c r="F424" s="1" t="str">
        <f t="shared" si="19"/>
        <v>1997</v>
      </c>
      <c r="G424" s="1">
        <v>35794</v>
      </c>
      <c r="H424" s="1">
        <v>35789</v>
      </c>
      <c r="I424">
        <v>1</v>
      </c>
      <c r="J424" t="str">
        <f t="shared" si="20"/>
        <v>UPS</v>
      </c>
      <c r="K424">
        <v>42.13</v>
      </c>
      <c r="L424" t="s">
        <v>44</v>
      </c>
      <c r="M424" t="s">
        <v>377</v>
      </c>
      <c r="N424" t="s">
        <v>378</v>
      </c>
      <c r="O424" t="s">
        <v>379</v>
      </c>
      <c r="P424" t="s">
        <v>380</v>
      </c>
      <c r="Q424" t="s">
        <v>298</v>
      </c>
    </row>
    <row r="425" spans="2:17" customFormat="1" ht="15" hidden="1" x14ac:dyDescent="0.25">
      <c r="B425">
        <v>10823</v>
      </c>
      <c r="C425" t="s">
        <v>375</v>
      </c>
      <c r="D425" s="1">
        <v>35804</v>
      </c>
      <c r="E425" s="1" t="str">
        <f t="shared" si="18"/>
        <v>jan</v>
      </c>
      <c r="F425" s="1" t="str">
        <f t="shared" si="19"/>
        <v>1998</v>
      </c>
      <c r="G425" s="1">
        <v>35832</v>
      </c>
      <c r="H425" s="1">
        <v>35808</v>
      </c>
      <c r="I425">
        <v>2</v>
      </c>
      <c r="J425" t="str">
        <f t="shared" si="20"/>
        <v>USPS</v>
      </c>
      <c r="K425">
        <v>163.97</v>
      </c>
      <c r="L425" t="s">
        <v>44</v>
      </c>
      <c r="M425" t="s">
        <v>377</v>
      </c>
      <c r="N425" t="s">
        <v>378</v>
      </c>
      <c r="O425" t="s">
        <v>379</v>
      </c>
      <c r="P425" t="s">
        <v>380</v>
      </c>
      <c r="Q425" t="s">
        <v>298</v>
      </c>
    </row>
    <row r="426" spans="2:17" customFormat="1" ht="15" hidden="1" x14ac:dyDescent="0.25">
      <c r="B426">
        <v>10899</v>
      </c>
      <c r="C426" t="s">
        <v>375</v>
      </c>
      <c r="D426" s="1">
        <v>35846</v>
      </c>
      <c r="E426" s="1" t="str">
        <f t="shared" si="18"/>
        <v>fev</v>
      </c>
      <c r="F426" s="1" t="str">
        <f t="shared" si="19"/>
        <v>1998</v>
      </c>
      <c r="G426" s="1">
        <v>35874</v>
      </c>
      <c r="H426" s="1">
        <v>35852</v>
      </c>
      <c r="I426">
        <v>3</v>
      </c>
      <c r="J426" t="str">
        <f t="shared" si="20"/>
        <v>DHL</v>
      </c>
      <c r="K426">
        <v>1.21</v>
      </c>
      <c r="L426" t="s">
        <v>44</v>
      </c>
      <c r="M426" t="s">
        <v>377</v>
      </c>
      <c r="N426" t="s">
        <v>378</v>
      </c>
      <c r="O426" t="s">
        <v>379</v>
      </c>
      <c r="P426" t="s">
        <v>380</v>
      </c>
      <c r="Q426" t="s">
        <v>298</v>
      </c>
    </row>
    <row r="427" spans="2:17" customFormat="1" ht="15" hidden="1" x14ac:dyDescent="0.25">
      <c r="B427">
        <v>10997</v>
      </c>
      <c r="C427" t="s">
        <v>375</v>
      </c>
      <c r="D427" s="1">
        <v>35888</v>
      </c>
      <c r="E427" s="1" t="str">
        <f t="shared" si="18"/>
        <v>abr</v>
      </c>
      <c r="F427" s="1" t="str">
        <f t="shared" si="19"/>
        <v>1998</v>
      </c>
      <c r="G427" s="1">
        <v>35930</v>
      </c>
      <c r="H427" s="1">
        <v>35898</v>
      </c>
      <c r="I427">
        <v>2</v>
      </c>
      <c r="J427" t="str">
        <f t="shared" si="20"/>
        <v>USPS</v>
      </c>
      <c r="K427">
        <v>73.91</v>
      </c>
      <c r="L427" t="s">
        <v>44</v>
      </c>
      <c r="M427" t="s">
        <v>377</v>
      </c>
      <c r="N427" t="s">
        <v>378</v>
      </c>
      <c r="O427" t="s">
        <v>379</v>
      </c>
      <c r="P427" t="s">
        <v>380</v>
      </c>
      <c r="Q427" t="s">
        <v>298</v>
      </c>
    </row>
    <row r="428" spans="2:17" customFormat="1" ht="15" hidden="1" x14ac:dyDescent="0.25">
      <c r="B428">
        <v>11065</v>
      </c>
      <c r="C428" t="s">
        <v>375</v>
      </c>
      <c r="D428" s="1">
        <v>35916</v>
      </c>
      <c r="E428" s="1" t="str">
        <f t="shared" si="18"/>
        <v>mai</v>
      </c>
      <c r="F428" s="1" t="str">
        <f t="shared" si="19"/>
        <v>1998</v>
      </c>
      <c r="G428" s="1">
        <v>35944</v>
      </c>
      <c r="H428" s="1"/>
      <c r="I428">
        <v>1</v>
      </c>
      <c r="J428" t="str">
        <f t="shared" si="20"/>
        <v>UPS</v>
      </c>
      <c r="K428">
        <v>12.91</v>
      </c>
      <c r="L428" t="s">
        <v>44</v>
      </c>
      <c r="M428" t="s">
        <v>377</v>
      </c>
      <c r="N428" t="s">
        <v>378</v>
      </c>
      <c r="O428" t="s">
        <v>379</v>
      </c>
      <c r="P428" t="s">
        <v>380</v>
      </c>
      <c r="Q428" t="s">
        <v>298</v>
      </c>
    </row>
    <row r="429" spans="2:17" customFormat="1" ht="15" hidden="1" x14ac:dyDescent="0.25">
      <c r="B429">
        <v>11071</v>
      </c>
      <c r="C429" t="s">
        <v>375</v>
      </c>
      <c r="D429" s="1">
        <v>35920</v>
      </c>
      <c r="E429" s="1" t="str">
        <f t="shared" si="18"/>
        <v>mai</v>
      </c>
      <c r="F429" s="1" t="str">
        <f t="shared" si="19"/>
        <v>1998</v>
      </c>
      <c r="G429" s="1">
        <v>35948</v>
      </c>
      <c r="H429" s="1"/>
      <c r="I429">
        <v>1</v>
      </c>
      <c r="J429" t="str">
        <f t="shared" si="20"/>
        <v>UPS</v>
      </c>
      <c r="K429">
        <v>0.93</v>
      </c>
      <c r="L429" t="s">
        <v>44</v>
      </c>
      <c r="M429" t="s">
        <v>377</v>
      </c>
      <c r="N429" t="s">
        <v>378</v>
      </c>
      <c r="O429" t="s">
        <v>379</v>
      </c>
      <c r="P429" t="s">
        <v>380</v>
      </c>
      <c r="Q429" t="s">
        <v>298</v>
      </c>
    </row>
    <row r="430" spans="2:17" customFormat="1" ht="15" hidden="1" x14ac:dyDescent="0.25">
      <c r="B430">
        <v>10405</v>
      </c>
      <c r="C430" t="s">
        <v>382</v>
      </c>
      <c r="D430" s="1">
        <v>35436</v>
      </c>
      <c r="E430" s="1" t="str">
        <f t="shared" si="18"/>
        <v>jan</v>
      </c>
      <c r="F430" s="1" t="str">
        <f t="shared" si="19"/>
        <v>1997</v>
      </c>
      <c r="G430" s="1">
        <v>35464</v>
      </c>
      <c r="H430" s="1">
        <v>35452</v>
      </c>
      <c r="I430">
        <v>1</v>
      </c>
      <c r="J430" t="str">
        <f t="shared" si="20"/>
        <v>UPS</v>
      </c>
      <c r="K430">
        <v>34.82</v>
      </c>
      <c r="L430" t="s">
        <v>43</v>
      </c>
      <c r="M430" t="s">
        <v>384</v>
      </c>
      <c r="N430" t="s">
        <v>385</v>
      </c>
      <c r="O430" t="s">
        <v>386</v>
      </c>
      <c r="P430" t="s">
        <v>387</v>
      </c>
      <c r="Q430" t="s">
        <v>298</v>
      </c>
    </row>
    <row r="431" spans="2:17" customFormat="1" ht="15" hidden="1" x14ac:dyDescent="0.25">
      <c r="B431">
        <v>10485</v>
      </c>
      <c r="C431" t="s">
        <v>382</v>
      </c>
      <c r="D431" s="1">
        <v>35514</v>
      </c>
      <c r="E431" s="1" t="str">
        <f t="shared" si="18"/>
        <v>mar</v>
      </c>
      <c r="F431" s="1" t="str">
        <f t="shared" si="19"/>
        <v>1997</v>
      </c>
      <c r="G431" s="1">
        <v>35528</v>
      </c>
      <c r="H431" s="1">
        <v>35520</v>
      </c>
      <c r="I431">
        <v>2</v>
      </c>
      <c r="J431" t="str">
        <f t="shared" si="20"/>
        <v>USPS</v>
      </c>
      <c r="K431">
        <v>64.45</v>
      </c>
      <c r="L431" t="s">
        <v>43</v>
      </c>
      <c r="M431" t="s">
        <v>384</v>
      </c>
      <c r="N431" t="s">
        <v>385</v>
      </c>
      <c r="O431" t="s">
        <v>386</v>
      </c>
      <c r="P431" t="s">
        <v>387</v>
      </c>
      <c r="Q431" t="s">
        <v>298</v>
      </c>
    </row>
    <row r="432" spans="2:17" customFormat="1" ht="15" hidden="1" x14ac:dyDescent="0.25">
      <c r="B432">
        <v>10638</v>
      </c>
      <c r="C432" t="s">
        <v>382</v>
      </c>
      <c r="D432" s="1">
        <v>35662</v>
      </c>
      <c r="E432" s="1" t="str">
        <f t="shared" si="18"/>
        <v>ago</v>
      </c>
      <c r="F432" s="1" t="str">
        <f t="shared" si="19"/>
        <v>1997</v>
      </c>
      <c r="G432" s="1">
        <v>35690</v>
      </c>
      <c r="H432" s="1">
        <v>35674</v>
      </c>
      <c r="I432">
        <v>1</v>
      </c>
      <c r="J432" t="str">
        <f t="shared" si="20"/>
        <v>UPS</v>
      </c>
      <c r="K432">
        <v>158.44</v>
      </c>
      <c r="L432" t="s">
        <v>43</v>
      </c>
      <c r="M432" t="s">
        <v>384</v>
      </c>
      <c r="N432" t="s">
        <v>385</v>
      </c>
      <c r="O432" t="s">
        <v>386</v>
      </c>
      <c r="P432" t="s">
        <v>387</v>
      </c>
      <c r="Q432" t="s">
        <v>298</v>
      </c>
    </row>
    <row r="433" spans="2:17" customFormat="1" ht="15" hidden="1" x14ac:dyDescent="0.25">
      <c r="B433">
        <v>10697</v>
      </c>
      <c r="C433" t="s">
        <v>382</v>
      </c>
      <c r="D433" s="1">
        <v>35711</v>
      </c>
      <c r="E433" s="1" t="str">
        <f t="shared" si="18"/>
        <v>out</v>
      </c>
      <c r="F433" s="1" t="str">
        <f t="shared" si="19"/>
        <v>1997</v>
      </c>
      <c r="G433" s="1">
        <v>35739</v>
      </c>
      <c r="H433" s="1">
        <v>35717</v>
      </c>
      <c r="I433">
        <v>1</v>
      </c>
      <c r="J433" t="str">
        <f t="shared" si="20"/>
        <v>UPS</v>
      </c>
      <c r="K433">
        <v>45.52</v>
      </c>
      <c r="L433" t="s">
        <v>43</v>
      </c>
      <c r="M433" t="s">
        <v>384</v>
      </c>
      <c r="N433" t="s">
        <v>385</v>
      </c>
      <c r="O433" t="s">
        <v>386</v>
      </c>
      <c r="P433" t="s">
        <v>387</v>
      </c>
      <c r="Q433" t="s">
        <v>298</v>
      </c>
    </row>
    <row r="434" spans="2:17" customFormat="1" ht="15" hidden="1" x14ac:dyDescent="0.25">
      <c r="B434">
        <v>10729</v>
      </c>
      <c r="C434" t="s">
        <v>382</v>
      </c>
      <c r="D434" s="1">
        <v>35738</v>
      </c>
      <c r="E434" s="1" t="str">
        <f t="shared" si="18"/>
        <v>nov</v>
      </c>
      <c r="F434" s="1" t="str">
        <f t="shared" si="19"/>
        <v>1997</v>
      </c>
      <c r="G434" s="1">
        <v>35780</v>
      </c>
      <c r="H434" s="1">
        <v>35748</v>
      </c>
      <c r="I434">
        <v>3</v>
      </c>
      <c r="J434" t="str">
        <f t="shared" si="20"/>
        <v>DHL</v>
      </c>
      <c r="K434">
        <v>141.06</v>
      </c>
      <c r="L434" t="s">
        <v>43</v>
      </c>
      <c r="M434" t="s">
        <v>384</v>
      </c>
      <c r="N434" t="s">
        <v>385</v>
      </c>
      <c r="O434" t="s">
        <v>386</v>
      </c>
      <c r="P434" t="s">
        <v>387</v>
      </c>
      <c r="Q434" t="s">
        <v>298</v>
      </c>
    </row>
    <row r="435" spans="2:17" customFormat="1" ht="15" hidden="1" x14ac:dyDescent="0.25">
      <c r="B435">
        <v>10811</v>
      </c>
      <c r="C435" t="s">
        <v>382</v>
      </c>
      <c r="D435" s="1">
        <v>35797</v>
      </c>
      <c r="E435" s="1" t="str">
        <f t="shared" si="18"/>
        <v>jan</v>
      </c>
      <c r="F435" s="1" t="str">
        <f t="shared" si="19"/>
        <v>1998</v>
      </c>
      <c r="G435" s="1">
        <v>35825</v>
      </c>
      <c r="H435" s="1">
        <v>35803</v>
      </c>
      <c r="I435">
        <v>1</v>
      </c>
      <c r="J435" t="str">
        <f t="shared" si="20"/>
        <v>UPS</v>
      </c>
      <c r="K435">
        <v>31.22</v>
      </c>
      <c r="L435" t="s">
        <v>43</v>
      </c>
      <c r="M435" t="s">
        <v>384</v>
      </c>
      <c r="N435" t="s">
        <v>385</v>
      </c>
      <c r="O435" t="s">
        <v>386</v>
      </c>
      <c r="P435" t="s">
        <v>387</v>
      </c>
      <c r="Q435" t="s">
        <v>298</v>
      </c>
    </row>
    <row r="436" spans="2:17" customFormat="1" ht="15" hidden="1" x14ac:dyDescent="0.25">
      <c r="B436">
        <v>10838</v>
      </c>
      <c r="C436" t="s">
        <v>382</v>
      </c>
      <c r="D436" s="1">
        <v>35814</v>
      </c>
      <c r="E436" s="1" t="str">
        <f t="shared" si="18"/>
        <v>jan</v>
      </c>
      <c r="F436" s="1" t="str">
        <f t="shared" si="19"/>
        <v>1998</v>
      </c>
      <c r="G436" s="1">
        <v>35842</v>
      </c>
      <c r="H436" s="1">
        <v>35818</v>
      </c>
      <c r="I436">
        <v>3</v>
      </c>
      <c r="J436" t="str">
        <f t="shared" si="20"/>
        <v>DHL</v>
      </c>
      <c r="K436">
        <v>59.28</v>
      </c>
      <c r="L436" t="s">
        <v>43</v>
      </c>
      <c r="M436" t="s">
        <v>384</v>
      </c>
      <c r="N436" t="s">
        <v>385</v>
      </c>
      <c r="O436" t="s">
        <v>386</v>
      </c>
      <c r="P436" t="s">
        <v>387</v>
      </c>
      <c r="Q436" t="s">
        <v>298</v>
      </c>
    </row>
    <row r="437" spans="2:17" customFormat="1" ht="15" hidden="1" x14ac:dyDescent="0.25">
      <c r="B437">
        <v>10840</v>
      </c>
      <c r="C437" t="s">
        <v>382</v>
      </c>
      <c r="D437" s="1">
        <v>35814</v>
      </c>
      <c r="E437" s="1" t="str">
        <f t="shared" si="18"/>
        <v>jan</v>
      </c>
      <c r="F437" s="1" t="str">
        <f t="shared" si="19"/>
        <v>1998</v>
      </c>
      <c r="G437" s="1">
        <v>35856</v>
      </c>
      <c r="H437" s="1">
        <v>35842</v>
      </c>
      <c r="I437">
        <v>2</v>
      </c>
      <c r="J437" t="str">
        <f t="shared" si="20"/>
        <v>USPS</v>
      </c>
      <c r="K437">
        <v>2.71</v>
      </c>
      <c r="L437" t="s">
        <v>43</v>
      </c>
      <c r="M437" t="s">
        <v>384</v>
      </c>
      <c r="N437" t="s">
        <v>385</v>
      </c>
      <c r="O437" t="s">
        <v>386</v>
      </c>
      <c r="P437" t="s">
        <v>387</v>
      </c>
      <c r="Q437" t="s">
        <v>298</v>
      </c>
    </row>
    <row r="438" spans="2:17" customFormat="1" ht="15" hidden="1" x14ac:dyDescent="0.25">
      <c r="B438">
        <v>10919</v>
      </c>
      <c r="C438" t="s">
        <v>382</v>
      </c>
      <c r="D438" s="1">
        <v>35856</v>
      </c>
      <c r="E438" s="1" t="str">
        <f t="shared" si="18"/>
        <v>mar</v>
      </c>
      <c r="F438" s="1" t="str">
        <f t="shared" si="19"/>
        <v>1998</v>
      </c>
      <c r="G438" s="1">
        <v>35884</v>
      </c>
      <c r="H438" s="1">
        <v>35858</v>
      </c>
      <c r="I438">
        <v>2</v>
      </c>
      <c r="J438" t="str">
        <f t="shared" si="20"/>
        <v>USPS</v>
      </c>
      <c r="K438">
        <v>19.8</v>
      </c>
      <c r="L438" t="s">
        <v>43</v>
      </c>
      <c r="M438" t="s">
        <v>384</v>
      </c>
      <c r="N438" t="s">
        <v>385</v>
      </c>
      <c r="O438" t="s">
        <v>386</v>
      </c>
      <c r="P438" t="s">
        <v>387</v>
      </c>
      <c r="Q438" t="s">
        <v>298</v>
      </c>
    </row>
    <row r="439" spans="2:17" customFormat="1" ht="15" hidden="1" x14ac:dyDescent="0.25">
      <c r="B439">
        <v>10954</v>
      </c>
      <c r="C439" t="s">
        <v>382</v>
      </c>
      <c r="D439" s="1">
        <v>35871</v>
      </c>
      <c r="E439" s="1" t="str">
        <f t="shared" si="18"/>
        <v>mar</v>
      </c>
      <c r="F439" s="1" t="str">
        <f t="shared" si="19"/>
        <v>1998</v>
      </c>
      <c r="G439" s="1">
        <v>35913</v>
      </c>
      <c r="H439" s="1">
        <v>35874</v>
      </c>
      <c r="I439">
        <v>1</v>
      </c>
      <c r="J439" t="str">
        <f t="shared" si="20"/>
        <v>UPS</v>
      </c>
      <c r="K439">
        <v>27.91</v>
      </c>
      <c r="L439" t="s">
        <v>43</v>
      </c>
      <c r="M439" t="s">
        <v>384</v>
      </c>
      <c r="N439" t="s">
        <v>385</v>
      </c>
      <c r="O439" t="s">
        <v>386</v>
      </c>
      <c r="P439" t="s">
        <v>387</v>
      </c>
      <c r="Q439" t="s">
        <v>298</v>
      </c>
    </row>
    <row r="440" spans="2:17" customFormat="1" ht="15" hidden="1" x14ac:dyDescent="0.25">
      <c r="B440">
        <v>11014</v>
      </c>
      <c r="C440" t="s">
        <v>382</v>
      </c>
      <c r="D440" s="1">
        <v>35895</v>
      </c>
      <c r="E440" s="1" t="str">
        <f t="shared" si="18"/>
        <v>abr</v>
      </c>
      <c r="F440" s="1" t="str">
        <f t="shared" si="19"/>
        <v>1998</v>
      </c>
      <c r="G440" s="1">
        <v>35923</v>
      </c>
      <c r="H440" s="1">
        <v>35900</v>
      </c>
      <c r="I440">
        <v>3</v>
      </c>
      <c r="J440" t="str">
        <f t="shared" si="20"/>
        <v>DHL</v>
      </c>
      <c r="K440">
        <v>23.6</v>
      </c>
      <c r="L440" t="s">
        <v>43</v>
      </c>
      <c r="M440" t="s">
        <v>384</v>
      </c>
      <c r="N440" t="s">
        <v>385</v>
      </c>
      <c r="O440" t="s">
        <v>386</v>
      </c>
      <c r="P440" t="s">
        <v>387</v>
      </c>
      <c r="Q440" t="s">
        <v>298</v>
      </c>
    </row>
    <row r="441" spans="2:17" customFormat="1" ht="15" hidden="1" x14ac:dyDescent="0.25">
      <c r="B441">
        <v>11039</v>
      </c>
      <c r="C441" t="s">
        <v>382</v>
      </c>
      <c r="D441" s="1">
        <v>35906</v>
      </c>
      <c r="E441" s="1" t="str">
        <f t="shared" si="18"/>
        <v>abr</v>
      </c>
      <c r="F441" s="1" t="str">
        <f t="shared" si="19"/>
        <v>1998</v>
      </c>
      <c r="G441" s="1">
        <v>35934</v>
      </c>
      <c r="H441" s="1"/>
      <c r="I441">
        <v>2</v>
      </c>
      <c r="J441" t="str">
        <f t="shared" si="20"/>
        <v>USPS</v>
      </c>
      <c r="K441">
        <v>65</v>
      </c>
      <c r="L441" t="s">
        <v>43</v>
      </c>
      <c r="M441" t="s">
        <v>384</v>
      </c>
      <c r="N441" t="s">
        <v>385</v>
      </c>
      <c r="O441" t="s">
        <v>386</v>
      </c>
      <c r="P441" t="s">
        <v>387</v>
      </c>
      <c r="Q441" t="s">
        <v>298</v>
      </c>
    </row>
    <row r="442" spans="2:17" customFormat="1" ht="15" hidden="1" x14ac:dyDescent="0.25">
      <c r="B442">
        <v>10307</v>
      </c>
      <c r="C442" t="s">
        <v>389</v>
      </c>
      <c r="D442" s="1">
        <v>35325</v>
      </c>
      <c r="E442" s="1" t="str">
        <f t="shared" si="18"/>
        <v>set</v>
      </c>
      <c r="F442" s="1" t="str">
        <f t="shared" si="19"/>
        <v>1996</v>
      </c>
      <c r="G442" s="1">
        <v>35353</v>
      </c>
      <c r="H442" s="1">
        <v>35333</v>
      </c>
      <c r="I442">
        <v>2</v>
      </c>
      <c r="J442" t="str">
        <f t="shared" si="20"/>
        <v>USPS</v>
      </c>
      <c r="K442">
        <v>0.56000000000000005</v>
      </c>
      <c r="L442" t="s">
        <v>42</v>
      </c>
      <c r="M442" t="s">
        <v>391</v>
      </c>
      <c r="N442" t="s">
        <v>392</v>
      </c>
      <c r="O442" t="s">
        <v>288</v>
      </c>
      <c r="P442" t="s">
        <v>393</v>
      </c>
      <c r="Q442" t="s">
        <v>290</v>
      </c>
    </row>
    <row r="443" spans="2:17" customFormat="1" ht="15" hidden="1" x14ac:dyDescent="0.25">
      <c r="B443">
        <v>10317</v>
      </c>
      <c r="C443" t="s">
        <v>389</v>
      </c>
      <c r="D443" s="1">
        <v>35338</v>
      </c>
      <c r="E443" s="1" t="str">
        <f t="shared" si="18"/>
        <v>set</v>
      </c>
      <c r="F443" s="1" t="str">
        <f t="shared" si="19"/>
        <v>1996</v>
      </c>
      <c r="G443" s="1">
        <v>35366</v>
      </c>
      <c r="H443" s="1">
        <v>35348</v>
      </c>
      <c r="I443">
        <v>1</v>
      </c>
      <c r="J443" t="str">
        <f t="shared" si="20"/>
        <v>UPS</v>
      </c>
      <c r="K443">
        <v>12.69</v>
      </c>
      <c r="L443" t="s">
        <v>42</v>
      </c>
      <c r="M443" t="s">
        <v>391</v>
      </c>
      <c r="N443" t="s">
        <v>392</v>
      </c>
      <c r="O443" t="s">
        <v>288</v>
      </c>
      <c r="P443" t="s">
        <v>393</v>
      </c>
      <c r="Q443" t="s">
        <v>290</v>
      </c>
    </row>
    <row r="444" spans="2:17" customFormat="1" ht="15" hidden="1" x14ac:dyDescent="0.25">
      <c r="B444">
        <v>10544</v>
      </c>
      <c r="C444" t="s">
        <v>389</v>
      </c>
      <c r="D444" s="1">
        <v>35571</v>
      </c>
      <c r="E444" s="1" t="str">
        <f t="shared" si="18"/>
        <v>mai</v>
      </c>
      <c r="F444" s="1" t="str">
        <f t="shared" si="19"/>
        <v>1997</v>
      </c>
      <c r="G444" s="1">
        <v>35599</v>
      </c>
      <c r="H444" s="1">
        <v>35580</v>
      </c>
      <c r="I444">
        <v>1</v>
      </c>
      <c r="J444" t="str">
        <f t="shared" si="20"/>
        <v>UPS</v>
      </c>
      <c r="K444">
        <v>24.91</v>
      </c>
      <c r="L444" t="s">
        <v>42</v>
      </c>
      <c r="M444" t="s">
        <v>391</v>
      </c>
      <c r="N444" t="s">
        <v>392</v>
      </c>
      <c r="O444" t="s">
        <v>288</v>
      </c>
      <c r="P444" t="s">
        <v>393</v>
      </c>
      <c r="Q444" t="s">
        <v>290</v>
      </c>
    </row>
    <row r="445" spans="2:17" customFormat="1" ht="15" hidden="1" x14ac:dyDescent="0.25">
      <c r="B445">
        <v>10662</v>
      </c>
      <c r="C445" t="s">
        <v>389</v>
      </c>
      <c r="D445" s="1">
        <v>35682</v>
      </c>
      <c r="E445" s="1" t="str">
        <f t="shared" si="18"/>
        <v>set</v>
      </c>
      <c r="F445" s="1" t="str">
        <f t="shared" si="19"/>
        <v>1997</v>
      </c>
      <c r="G445" s="1">
        <v>35710</v>
      </c>
      <c r="H445" s="1">
        <v>35691</v>
      </c>
      <c r="I445">
        <v>2</v>
      </c>
      <c r="J445" t="str">
        <f t="shared" si="20"/>
        <v>USPS</v>
      </c>
      <c r="K445">
        <v>1.28</v>
      </c>
      <c r="L445" t="s">
        <v>42</v>
      </c>
      <c r="M445" t="s">
        <v>391</v>
      </c>
      <c r="N445" t="s">
        <v>392</v>
      </c>
      <c r="O445" t="s">
        <v>288</v>
      </c>
      <c r="P445" t="s">
        <v>393</v>
      </c>
      <c r="Q445" t="s">
        <v>290</v>
      </c>
    </row>
    <row r="446" spans="2:17" customFormat="1" ht="15" hidden="1" x14ac:dyDescent="0.25">
      <c r="B446">
        <v>10665</v>
      </c>
      <c r="C446" t="s">
        <v>389</v>
      </c>
      <c r="D446" s="1">
        <v>35684</v>
      </c>
      <c r="E446" s="1" t="str">
        <f t="shared" si="18"/>
        <v>set</v>
      </c>
      <c r="F446" s="1" t="str">
        <f t="shared" si="19"/>
        <v>1997</v>
      </c>
      <c r="G446" s="1">
        <v>35712</v>
      </c>
      <c r="H446" s="1">
        <v>35690</v>
      </c>
      <c r="I446">
        <v>2</v>
      </c>
      <c r="J446" t="str">
        <f t="shared" si="20"/>
        <v>USPS</v>
      </c>
      <c r="K446">
        <v>26.31</v>
      </c>
      <c r="L446" t="s">
        <v>42</v>
      </c>
      <c r="M446" t="s">
        <v>391</v>
      </c>
      <c r="N446" t="s">
        <v>392</v>
      </c>
      <c r="O446" t="s">
        <v>288</v>
      </c>
      <c r="P446" t="s">
        <v>393</v>
      </c>
      <c r="Q446" t="s">
        <v>290</v>
      </c>
    </row>
    <row r="447" spans="2:17" customFormat="1" ht="15" hidden="1" x14ac:dyDescent="0.25">
      <c r="B447">
        <v>10867</v>
      </c>
      <c r="C447" t="s">
        <v>389</v>
      </c>
      <c r="D447" s="1">
        <v>35829</v>
      </c>
      <c r="E447" s="1" t="str">
        <f t="shared" si="18"/>
        <v>fev</v>
      </c>
      <c r="F447" s="1" t="str">
        <f t="shared" si="19"/>
        <v>1998</v>
      </c>
      <c r="G447" s="1">
        <v>35871</v>
      </c>
      <c r="H447" s="1">
        <v>35837</v>
      </c>
      <c r="I447">
        <v>1</v>
      </c>
      <c r="J447" t="str">
        <f t="shared" si="20"/>
        <v>UPS</v>
      </c>
      <c r="K447">
        <v>1.93</v>
      </c>
      <c r="L447" t="s">
        <v>42</v>
      </c>
      <c r="M447" t="s">
        <v>391</v>
      </c>
      <c r="N447" t="s">
        <v>392</v>
      </c>
      <c r="O447" t="s">
        <v>288</v>
      </c>
      <c r="P447" t="s">
        <v>393</v>
      </c>
      <c r="Q447" t="s">
        <v>290</v>
      </c>
    </row>
    <row r="448" spans="2:17" customFormat="1" ht="15" hidden="1" x14ac:dyDescent="0.25">
      <c r="B448">
        <v>10883</v>
      </c>
      <c r="C448" t="s">
        <v>389</v>
      </c>
      <c r="D448" s="1">
        <v>35838</v>
      </c>
      <c r="E448" s="1" t="str">
        <f t="shared" si="18"/>
        <v>fev</v>
      </c>
      <c r="F448" s="1" t="str">
        <f t="shared" si="19"/>
        <v>1998</v>
      </c>
      <c r="G448" s="1">
        <v>35866</v>
      </c>
      <c r="H448" s="1">
        <v>35846</v>
      </c>
      <c r="I448">
        <v>3</v>
      </c>
      <c r="J448" t="str">
        <f t="shared" si="20"/>
        <v>DHL</v>
      </c>
      <c r="K448">
        <v>0.53</v>
      </c>
      <c r="L448" t="s">
        <v>42</v>
      </c>
      <c r="M448" t="s">
        <v>391</v>
      </c>
      <c r="N448" t="s">
        <v>392</v>
      </c>
      <c r="O448" t="s">
        <v>288</v>
      </c>
      <c r="P448" t="s">
        <v>393</v>
      </c>
      <c r="Q448" t="s">
        <v>290</v>
      </c>
    </row>
    <row r="449" spans="2:17" customFormat="1" ht="15" hidden="1" x14ac:dyDescent="0.25">
      <c r="B449">
        <v>11018</v>
      </c>
      <c r="C449" t="s">
        <v>389</v>
      </c>
      <c r="D449" s="1">
        <v>35898</v>
      </c>
      <c r="E449" s="1" t="str">
        <f t="shared" si="18"/>
        <v>abr</v>
      </c>
      <c r="F449" s="1" t="str">
        <f t="shared" si="19"/>
        <v>1998</v>
      </c>
      <c r="G449" s="1">
        <v>35926</v>
      </c>
      <c r="H449" s="1">
        <v>35901</v>
      </c>
      <c r="I449">
        <v>2</v>
      </c>
      <c r="J449" t="str">
        <f t="shared" si="20"/>
        <v>USPS</v>
      </c>
      <c r="K449">
        <v>11.65</v>
      </c>
      <c r="L449" t="s">
        <v>42</v>
      </c>
      <c r="M449" t="s">
        <v>391</v>
      </c>
      <c r="N449" t="s">
        <v>392</v>
      </c>
      <c r="O449" t="s">
        <v>288</v>
      </c>
      <c r="P449" t="s">
        <v>393</v>
      </c>
      <c r="Q449" t="s">
        <v>290</v>
      </c>
    </row>
    <row r="450" spans="2:17" customFormat="1" ht="15" hidden="1" x14ac:dyDescent="0.25">
      <c r="B450">
        <v>10275</v>
      </c>
      <c r="C450" t="s">
        <v>395</v>
      </c>
      <c r="D450" s="1">
        <v>35284</v>
      </c>
      <c r="E450" s="1" t="str">
        <f t="shared" si="18"/>
        <v>ago</v>
      </c>
      <c r="F450" s="1" t="str">
        <f t="shared" si="19"/>
        <v>1996</v>
      </c>
      <c r="G450" s="1">
        <v>35312</v>
      </c>
      <c r="H450" s="1">
        <v>35286</v>
      </c>
      <c r="I450">
        <v>1</v>
      </c>
      <c r="J450" t="str">
        <f t="shared" si="20"/>
        <v>UPS</v>
      </c>
      <c r="K450">
        <v>26.93</v>
      </c>
      <c r="L450" t="s">
        <v>41</v>
      </c>
      <c r="M450" t="s">
        <v>397</v>
      </c>
      <c r="N450" t="s">
        <v>398</v>
      </c>
      <c r="P450" t="s">
        <v>399</v>
      </c>
      <c r="Q450" t="s">
        <v>258</v>
      </c>
    </row>
    <row r="451" spans="2:17" customFormat="1" ht="15" hidden="1" x14ac:dyDescent="0.25">
      <c r="B451">
        <v>10300</v>
      </c>
      <c r="C451" t="s">
        <v>395</v>
      </c>
      <c r="D451" s="1">
        <v>35317</v>
      </c>
      <c r="E451" s="1" t="str">
        <f t="shared" si="18"/>
        <v>set</v>
      </c>
      <c r="F451" s="1" t="str">
        <f t="shared" si="19"/>
        <v>1996</v>
      </c>
      <c r="G451" s="1">
        <v>35345</v>
      </c>
      <c r="H451" s="1">
        <v>35326</v>
      </c>
      <c r="I451">
        <v>2</v>
      </c>
      <c r="J451" t="str">
        <f t="shared" si="20"/>
        <v>USPS</v>
      </c>
      <c r="K451">
        <v>17.68</v>
      </c>
      <c r="L451" t="s">
        <v>41</v>
      </c>
      <c r="M451" t="s">
        <v>397</v>
      </c>
      <c r="N451" t="s">
        <v>398</v>
      </c>
      <c r="P451" t="s">
        <v>399</v>
      </c>
      <c r="Q451" t="s">
        <v>258</v>
      </c>
    </row>
    <row r="452" spans="2:17" customFormat="1" ht="15" hidden="1" x14ac:dyDescent="0.25">
      <c r="B452">
        <v>10404</v>
      </c>
      <c r="C452" t="s">
        <v>395</v>
      </c>
      <c r="D452" s="1">
        <v>35433</v>
      </c>
      <c r="E452" s="1" t="str">
        <f t="shared" si="18"/>
        <v>jan</v>
      </c>
      <c r="F452" s="1" t="str">
        <f t="shared" si="19"/>
        <v>1997</v>
      </c>
      <c r="G452" s="1">
        <v>35461</v>
      </c>
      <c r="H452" s="1">
        <v>35438</v>
      </c>
      <c r="I452">
        <v>1</v>
      </c>
      <c r="J452" t="str">
        <f t="shared" si="20"/>
        <v>UPS</v>
      </c>
      <c r="K452">
        <v>155.97</v>
      </c>
      <c r="L452" t="s">
        <v>41</v>
      </c>
      <c r="M452" t="s">
        <v>397</v>
      </c>
      <c r="N452" t="s">
        <v>398</v>
      </c>
      <c r="P452" t="s">
        <v>399</v>
      </c>
      <c r="Q452" t="s">
        <v>258</v>
      </c>
    </row>
    <row r="453" spans="2:17" customFormat="1" ht="15" hidden="1" x14ac:dyDescent="0.25">
      <c r="B453">
        <v>10467</v>
      </c>
      <c r="C453" t="s">
        <v>395</v>
      </c>
      <c r="D453" s="1">
        <v>35495</v>
      </c>
      <c r="E453" s="1" t="str">
        <f t="shared" si="18"/>
        <v>mar</v>
      </c>
      <c r="F453" s="1" t="str">
        <f t="shared" si="19"/>
        <v>1997</v>
      </c>
      <c r="G453" s="1">
        <v>35523</v>
      </c>
      <c r="H453" s="1">
        <v>35500</v>
      </c>
      <c r="I453">
        <v>2</v>
      </c>
      <c r="J453" t="str">
        <f t="shared" si="20"/>
        <v>USPS</v>
      </c>
      <c r="K453">
        <v>4.93</v>
      </c>
      <c r="L453" t="s">
        <v>41</v>
      </c>
      <c r="M453" t="s">
        <v>397</v>
      </c>
      <c r="N453" t="s">
        <v>398</v>
      </c>
      <c r="P453" t="s">
        <v>399</v>
      </c>
      <c r="Q453" t="s">
        <v>258</v>
      </c>
    </row>
    <row r="454" spans="2:17" customFormat="1" ht="15" hidden="1" x14ac:dyDescent="0.25">
      <c r="B454">
        <v>10635</v>
      </c>
      <c r="C454" t="s">
        <v>395</v>
      </c>
      <c r="D454" s="1">
        <v>35660</v>
      </c>
      <c r="E454" s="1" t="str">
        <f t="shared" si="18"/>
        <v>ago</v>
      </c>
      <c r="F454" s="1" t="str">
        <f t="shared" si="19"/>
        <v>1997</v>
      </c>
      <c r="G454" s="1">
        <v>35688</v>
      </c>
      <c r="H454" s="1">
        <v>35663</v>
      </c>
      <c r="I454">
        <v>3</v>
      </c>
      <c r="J454" t="str">
        <f t="shared" si="20"/>
        <v>DHL</v>
      </c>
      <c r="K454">
        <v>47.46</v>
      </c>
      <c r="L454" t="s">
        <v>41</v>
      </c>
      <c r="M454" t="s">
        <v>397</v>
      </c>
      <c r="N454" t="s">
        <v>398</v>
      </c>
      <c r="P454" t="s">
        <v>399</v>
      </c>
      <c r="Q454" t="s">
        <v>258</v>
      </c>
    </row>
    <row r="455" spans="2:17" customFormat="1" ht="15" hidden="1" x14ac:dyDescent="0.25">
      <c r="B455">
        <v>10754</v>
      </c>
      <c r="C455" t="s">
        <v>395</v>
      </c>
      <c r="D455" s="1">
        <v>35759</v>
      </c>
      <c r="E455" s="1" t="str">
        <f t="shared" si="18"/>
        <v>nov</v>
      </c>
      <c r="F455" s="1" t="str">
        <f t="shared" si="19"/>
        <v>1997</v>
      </c>
      <c r="G455" s="1">
        <v>35787</v>
      </c>
      <c r="H455" s="1">
        <v>35761</v>
      </c>
      <c r="I455">
        <v>3</v>
      </c>
      <c r="J455" t="str">
        <f t="shared" si="20"/>
        <v>DHL</v>
      </c>
      <c r="K455">
        <v>2.38</v>
      </c>
      <c r="L455" t="s">
        <v>41</v>
      </c>
      <c r="M455" t="s">
        <v>397</v>
      </c>
      <c r="N455" t="s">
        <v>398</v>
      </c>
      <c r="P455" t="s">
        <v>399</v>
      </c>
      <c r="Q455" t="s">
        <v>258</v>
      </c>
    </row>
    <row r="456" spans="2:17" customFormat="1" ht="15" hidden="1" x14ac:dyDescent="0.25">
      <c r="B456">
        <v>10784</v>
      </c>
      <c r="C456" t="s">
        <v>395</v>
      </c>
      <c r="D456" s="1">
        <v>35782</v>
      </c>
      <c r="E456" s="1" t="str">
        <f t="shared" si="18"/>
        <v>dez</v>
      </c>
      <c r="F456" s="1" t="str">
        <f t="shared" si="19"/>
        <v>1997</v>
      </c>
      <c r="G456" s="1">
        <v>35810</v>
      </c>
      <c r="H456" s="1">
        <v>35786</v>
      </c>
      <c r="I456">
        <v>3</v>
      </c>
      <c r="J456" t="str">
        <f t="shared" si="20"/>
        <v>DHL</v>
      </c>
      <c r="K456">
        <v>70.09</v>
      </c>
      <c r="L456" t="s">
        <v>41</v>
      </c>
      <c r="M456" t="s">
        <v>397</v>
      </c>
      <c r="N456" t="s">
        <v>398</v>
      </c>
      <c r="P456" t="s">
        <v>399</v>
      </c>
      <c r="Q456" t="s">
        <v>258</v>
      </c>
    </row>
    <row r="457" spans="2:17" customFormat="1" ht="15" hidden="1" x14ac:dyDescent="0.25">
      <c r="B457">
        <v>10818</v>
      </c>
      <c r="C457" t="s">
        <v>395</v>
      </c>
      <c r="D457" s="1">
        <v>35802</v>
      </c>
      <c r="E457" s="1" t="str">
        <f t="shared" si="18"/>
        <v>jan</v>
      </c>
      <c r="F457" s="1" t="str">
        <f t="shared" si="19"/>
        <v>1998</v>
      </c>
      <c r="G457" s="1">
        <v>35830</v>
      </c>
      <c r="H457" s="1">
        <v>35807</v>
      </c>
      <c r="I457">
        <v>3</v>
      </c>
      <c r="J457" t="str">
        <f t="shared" si="20"/>
        <v>DHL</v>
      </c>
      <c r="K457">
        <v>65.48</v>
      </c>
      <c r="L457" t="s">
        <v>41</v>
      </c>
      <c r="M457" t="s">
        <v>397</v>
      </c>
      <c r="N457" t="s">
        <v>398</v>
      </c>
      <c r="P457" t="s">
        <v>399</v>
      </c>
      <c r="Q457" t="s">
        <v>258</v>
      </c>
    </row>
    <row r="458" spans="2:17" customFormat="1" ht="15" hidden="1" x14ac:dyDescent="0.25">
      <c r="B458">
        <v>10939</v>
      </c>
      <c r="C458" t="s">
        <v>395</v>
      </c>
      <c r="D458" s="1">
        <v>35864</v>
      </c>
      <c r="E458" s="1" t="str">
        <f t="shared" si="18"/>
        <v>mar</v>
      </c>
      <c r="F458" s="1" t="str">
        <f t="shared" si="19"/>
        <v>1998</v>
      </c>
      <c r="G458" s="1">
        <v>35892</v>
      </c>
      <c r="H458" s="1">
        <v>35867</v>
      </c>
      <c r="I458">
        <v>2</v>
      </c>
      <c r="J458" t="str">
        <f t="shared" si="20"/>
        <v>USPS</v>
      </c>
      <c r="K458">
        <v>76.33</v>
      </c>
      <c r="L458" t="s">
        <v>41</v>
      </c>
      <c r="M458" t="s">
        <v>397</v>
      </c>
      <c r="N458" t="s">
        <v>398</v>
      </c>
      <c r="P458" t="s">
        <v>399</v>
      </c>
      <c r="Q458" t="s">
        <v>258</v>
      </c>
    </row>
    <row r="459" spans="2:17" customFormat="1" ht="15" hidden="1" x14ac:dyDescent="0.25">
      <c r="B459">
        <v>10950</v>
      </c>
      <c r="C459" t="s">
        <v>395</v>
      </c>
      <c r="D459" s="1">
        <v>35870</v>
      </c>
      <c r="E459" s="1" t="str">
        <f t="shared" si="18"/>
        <v>mar</v>
      </c>
      <c r="F459" s="1" t="str">
        <f t="shared" si="19"/>
        <v>1998</v>
      </c>
      <c r="G459" s="1">
        <v>35898</v>
      </c>
      <c r="H459" s="1">
        <v>35877</v>
      </c>
      <c r="I459">
        <v>2</v>
      </c>
      <c r="J459" t="str">
        <f t="shared" si="20"/>
        <v>USPS</v>
      </c>
      <c r="K459">
        <v>2.5</v>
      </c>
      <c r="L459" t="s">
        <v>41</v>
      </c>
      <c r="M459" t="s">
        <v>397</v>
      </c>
      <c r="N459" t="s">
        <v>398</v>
      </c>
      <c r="P459" t="s">
        <v>399</v>
      </c>
      <c r="Q459" t="s">
        <v>258</v>
      </c>
    </row>
    <row r="460" spans="2:17" customFormat="1" ht="15" hidden="1" x14ac:dyDescent="0.25">
      <c r="B460">
        <v>10529</v>
      </c>
      <c r="C460" t="s">
        <v>401</v>
      </c>
      <c r="D460" s="1">
        <v>35557</v>
      </c>
      <c r="E460" s="1" t="str">
        <f t="shared" si="18"/>
        <v>mai</v>
      </c>
      <c r="F460" s="1" t="str">
        <f t="shared" si="19"/>
        <v>1997</v>
      </c>
      <c r="G460" s="1">
        <v>35585</v>
      </c>
      <c r="H460" s="1">
        <v>35559</v>
      </c>
      <c r="I460">
        <v>2</v>
      </c>
      <c r="J460" t="str">
        <f t="shared" si="20"/>
        <v>USPS</v>
      </c>
      <c r="K460">
        <v>66.69</v>
      </c>
      <c r="L460" t="s">
        <v>40</v>
      </c>
      <c r="M460" t="s">
        <v>403</v>
      </c>
      <c r="N460" t="s">
        <v>404</v>
      </c>
      <c r="P460" t="s">
        <v>405</v>
      </c>
      <c r="Q460" t="s">
        <v>406</v>
      </c>
    </row>
    <row r="461" spans="2:17" customFormat="1" ht="15" hidden="1" x14ac:dyDescent="0.25">
      <c r="B461">
        <v>10649</v>
      </c>
      <c r="C461" t="s">
        <v>401</v>
      </c>
      <c r="D461" s="1">
        <v>35670</v>
      </c>
      <c r="E461" s="1" t="str">
        <f t="shared" si="18"/>
        <v>ago</v>
      </c>
      <c r="F461" s="1" t="str">
        <f t="shared" si="19"/>
        <v>1997</v>
      </c>
      <c r="G461" s="1">
        <v>35698</v>
      </c>
      <c r="H461" s="1">
        <v>35671</v>
      </c>
      <c r="I461">
        <v>3</v>
      </c>
      <c r="J461" t="str">
        <f t="shared" si="20"/>
        <v>DHL</v>
      </c>
      <c r="K461">
        <v>6.2</v>
      </c>
      <c r="L461" t="s">
        <v>40</v>
      </c>
      <c r="M461" t="s">
        <v>403</v>
      </c>
      <c r="N461" t="s">
        <v>404</v>
      </c>
      <c r="P461" t="s">
        <v>405</v>
      </c>
      <c r="Q461" t="s">
        <v>406</v>
      </c>
    </row>
    <row r="462" spans="2:17" customFormat="1" ht="15" hidden="1" x14ac:dyDescent="0.25">
      <c r="B462">
        <v>10760</v>
      </c>
      <c r="C462" t="s">
        <v>401</v>
      </c>
      <c r="D462" s="1">
        <v>35765</v>
      </c>
      <c r="E462" s="1" t="str">
        <f t="shared" ref="E462:E525" si="21">TEXT(D462,"mmm")</f>
        <v>dez</v>
      </c>
      <c r="F462" s="1" t="str">
        <f t="shared" ref="F462:F525" si="22">TEXT(D462,"aaa")</f>
        <v>1997</v>
      </c>
      <c r="G462" s="1">
        <v>35793</v>
      </c>
      <c r="H462" s="1">
        <v>35774</v>
      </c>
      <c r="I462">
        <v>1</v>
      </c>
      <c r="J462" t="str">
        <f t="shared" ref="J462:J525" si="23">CHOOSE(I462,"UPS","USPS","DHL")</f>
        <v>UPS</v>
      </c>
      <c r="K462">
        <v>155.63999999999999</v>
      </c>
      <c r="L462" t="s">
        <v>40</v>
      </c>
      <c r="M462" t="s">
        <v>403</v>
      </c>
      <c r="N462" t="s">
        <v>404</v>
      </c>
      <c r="P462" t="s">
        <v>405</v>
      </c>
      <c r="Q462" t="s">
        <v>406</v>
      </c>
    </row>
    <row r="463" spans="2:17" customFormat="1" ht="15" hidden="1" x14ac:dyDescent="0.25">
      <c r="B463">
        <v>10892</v>
      </c>
      <c r="C463" t="s">
        <v>401</v>
      </c>
      <c r="D463" s="1">
        <v>35843</v>
      </c>
      <c r="E463" s="1" t="str">
        <f t="shared" si="21"/>
        <v>fev</v>
      </c>
      <c r="F463" s="1" t="str">
        <f t="shared" si="22"/>
        <v>1998</v>
      </c>
      <c r="G463" s="1">
        <v>35871</v>
      </c>
      <c r="H463" s="1">
        <v>35845</v>
      </c>
      <c r="I463">
        <v>2</v>
      </c>
      <c r="J463" t="str">
        <f t="shared" si="23"/>
        <v>USPS</v>
      </c>
      <c r="K463">
        <v>120.27</v>
      </c>
      <c r="L463" t="s">
        <v>40</v>
      </c>
      <c r="M463" t="s">
        <v>403</v>
      </c>
      <c r="N463" t="s">
        <v>404</v>
      </c>
      <c r="P463" t="s">
        <v>405</v>
      </c>
      <c r="Q463" t="s">
        <v>406</v>
      </c>
    </row>
    <row r="464" spans="2:17" customFormat="1" ht="15" hidden="1" x14ac:dyDescent="0.25">
      <c r="B464">
        <v>10896</v>
      </c>
      <c r="C464" t="s">
        <v>401</v>
      </c>
      <c r="D464" s="1">
        <v>35845</v>
      </c>
      <c r="E464" s="1" t="str">
        <f t="shared" si="21"/>
        <v>fev</v>
      </c>
      <c r="F464" s="1" t="str">
        <f t="shared" si="22"/>
        <v>1998</v>
      </c>
      <c r="G464" s="1">
        <v>35873</v>
      </c>
      <c r="H464" s="1">
        <v>35853</v>
      </c>
      <c r="I464">
        <v>3</v>
      </c>
      <c r="J464" t="str">
        <f t="shared" si="23"/>
        <v>DHL</v>
      </c>
      <c r="K464">
        <v>32.450000000000003</v>
      </c>
      <c r="L464" t="s">
        <v>40</v>
      </c>
      <c r="M464" t="s">
        <v>403</v>
      </c>
      <c r="N464" t="s">
        <v>404</v>
      </c>
      <c r="P464" t="s">
        <v>405</v>
      </c>
      <c r="Q464" t="s">
        <v>406</v>
      </c>
    </row>
    <row r="465" spans="2:17" customFormat="1" ht="15" hidden="1" x14ac:dyDescent="0.25">
      <c r="B465">
        <v>10978</v>
      </c>
      <c r="C465" t="s">
        <v>401</v>
      </c>
      <c r="D465" s="1">
        <v>35880</v>
      </c>
      <c r="E465" s="1" t="str">
        <f t="shared" si="21"/>
        <v>mar</v>
      </c>
      <c r="F465" s="1" t="str">
        <f t="shared" si="22"/>
        <v>1998</v>
      </c>
      <c r="G465" s="1">
        <v>35908</v>
      </c>
      <c r="H465" s="1">
        <v>35908</v>
      </c>
      <c r="I465">
        <v>2</v>
      </c>
      <c r="J465" t="str">
        <f t="shared" si="23"/>
        <v>USPS</v>
      </c>
      <c r="K465">
        <v>32.82</v>
      </c>
      <c r="L465" t="s">
        <v>40</v>
      </c>
      <c r="M465" t="s">
        <v>403</v>
      </c>
      <c r="N465" t="s">
        <v>404</v>
      </c>
      <c r="P465" t="s">
        <v>405</v>
      </c>
      <c r="Q465" t="s">
        <v>406</v>
      </c>
    </row>
    <row r="466" spans="2:17" customFormat="1" ht="15" hidden="1" x14ac:dyDescent="0.25">
      <c r="B466">
        <v>11004</v>
      </c>
      <c r="C466" t="s">
        <v>401</v>
      </c>
      <c r="D466" s="1">
        <v>35892</v>
      </c>
      <c r="E466" s="1" t="str">
        <f t="shared" si="21"/>
        <v>abr</v>
      </c>
      <c r="F466" s="1" t="str">
        <f t="shared" si="22"/>
        <v>1998</v>
      </c>
      <c r="G466" s="1">
        <v>35920</v>
      </c>
      <c r="H466" s="1">
        <v>35905</v>
      </c>
      <c r="I466">
        <v>1</v>
      </c>
      <c r="J466" t="str">
        <f t="shared" si="23"/>
        <v>UPS</v>
      </c>
      <c r="K466">
        <v>44.84</v>
      </c>
      <c r="L466" t="s">
        <v>40</v>
      </c>
      <c r="M466" t="s">
        <v>403</v>
      </c>
      <c r="N466" t="s">
        <v>404</v>
      </c>
      <c r="P466" t="s">
        <v>405</v>
      </c>
      <c r="Q466" t="s">
        <v>406</v>
      </c>
    </row>
    <row r="467" spans="2:17" customFormat="1" ht="15" hidden="1" x14ac:dyDescent="0.25">
      <c r="B467">
        <v>10332</v>
      </c>
      <c r="C467" t="s">
        <v>408</v>
      </c>
      <c r="D467" s="1">
        <v>35355</v>
      </c>
      <c r="E467" s="1" t="str">
        <f t="shared" si="21"/>
        <v>out</v>
      </c>
      <c r="F467" s="1" t="str">
        <f t="shared" si="22"/>
        <v>1996</v>
      </c>
      <c r="G467" s="1">
        <v>35397</v>
      </c>
      <c r="H467" s="1">
        <v>35359</v>
      </c>
      <c r="I467">
        <v>2</v>
      </c>
      <c r="J467" t="str">
        <f t="shared" si="23"/>
        <v>USPS</v>
      </c>
      <c r="K467">
        <v>52.84</v>
      </c>
      <c r="L467" t="s">
        <v>39</v>
      </c>
      <c r="M467" t="s">
        <v>410</v>
      </c>
      <c r="N467" t="s">
        <v>411</v>
      </c>
      <c r="O467" t="s">
        <v>412</v>
      </c>
      <c r="P467" t="s">
        <v>413</v>
      </c>
      <c r="Q467" t="s">
        <v>156</v>
      </c>
    </row>
    <row r="468" spans="2:17" customFormat="1" ht="15" hidden="1" x14ac:dyDescent="0.25">
      <c r="B468">
        <v>10339</v>
      </c>
      <c r="C468" t="s">
        <v>408</v>
      </c>
      <c r="D468" s="1">
        <v>35366</v>
      </c>
      <c r="E468" s="1" t="str">
        <f t="shared" si="21"/>
        <v>out</v>
      </c>
      <c r="F468" s="1" t="str">
        <f t="shared" si="22"/>
        <v>1996</v>
      </c>
      <c r="G468" s="1">
        <v>35394</v>
      </c>
      <c r="H468" s="1">
        <v>35373</v>
      </c>
      <c r="I468">
        <v>2</v>
      </c>
      <c r="J468" t="str">
        <f t="shared" si="23"/>
        <v>USPS</v>
      </c>
      <c r="K468">
        <v>15.66</v>
      </c>
      <c r="L468" t="s">
        <v>39</v>
      </c>
      <c r="M468" t="s">
        <v>410</v>
      </c>
      <c r="N468" t="s">
        <v>411</v>
      </c>
      <c r="O468" t="s">
        <v>412</v>
      </c>
      <c r="P468" t="s">
        <v>413</v>
      </c>
      <c r="Q468" t="s">
        <v>156</v>
      </c>
    </row>
    <row r="469" spans="2:17" customFormat="1" ht="15" hidden="1" x14ac:dyDescent="0.25">
      <c r="B469">
        <v>10376</v>
      </c>
      <c r="C469" t="s">
        <v>408</v>
      </c>
      <c r="D469" s="1">
        <v>35408</v>
      </c>
      <c r="E469" s="1" t="str">
        <f t="shared" si="21"/>
        <v>dez</v>
      </c>
      <c r="F469" s="1" t="str">
        <f t="shared" si="22"/>
        <v>1996</v>
      </c>
      <c r="G469" s="1">
        <v>35436</v>
      </c>
      <c r="H469" s="1">
        <v>35412</v>
      </c>
      <c r="I469">
        <v>2</v>
      </c>
      <c r="J469" t="str">
        <f t="shared" si="23"/>
        <v>USPS</v>
      </c>
      <c r="K469">
        <v>20.39</v>
      </c>
      <c r="L469" t="s">
        <v>39</v>
      </c>
      <c r="M469" t="s">
        <v>410</v>
      </c>
      <c r="N469" t="s">
        <v>411</v>
      </c>
      <c r="O469" t="s">
        <v>412</v>
      </c>
      <c r="P469" t="s">
        <v>413</v>
      </c>
      <c r="Q469" t="s">
        <v>156</v>
      </c>
    </row>
    <row r="470" spans="2:17" customFormat="1" ht="15" hidden="1" x14ac:dyDescent="0.25">
      <c r="B470">
        <v>10424</v>
      </c>
      <c r="C470" t="s">
        <v>408</v>
      </c>
      <c r="D470" s="1">
        <v>35453</v>
      </c>
      <c r="E470" s="1" t="str">
        <f t="shared" si="21"/>
        <v>jan</v>
      </c>
      <c r="F470" s="1" t="str">
        <f t="shared" si="22"/>
        <v>1997</v>
      </c>
      <c r="G470" s="1">
        <v>35481</v>
      </c>
      <c r="H470" s="1">
        <v>35457</v>
      </c>
      <c r="I470">
        <v>2</v>
      </c>
      <c r="J470" t="str">
        <f t="shared" si="23"/>
        <v>USPS</v>
      </c>
      <c r="K470">
        <v>370.61</v>
      </c>
      <c r="L470" t="s">
        <v>39</v>
      </c>
      <c r="M470" t="s">
        <v>410</v>
      </c>
      <c r="N470" t="s">
        <v>411</v>
      </c>
      <c r="O470" t="s">
        <v>412</v>
      </c>
      <c r="P470" t="s">
        <v>413</v>
      </c>
      <c r="Q470" t="s">
        <v>156</v>
      </c>
    </row>
    <row r="471" spans="2:17" customFormat="1" ht="15" hidden="1" x14ac:dyDescent="0.25">
      <c r="B471">
        <v>10439</v>
      </c>
      <c r="C471" t="s">
        <v>408</v>
      </c>
      <c r="D471" s="1">
        <v>35468</v>
      </c>
      <c r="E471" s="1" t="str">
        <f t="shared" si="21"/>
        <v>fev</v>
      </c>
      <c r="F471" s="1" t="str">
        <f t="shared" si="22"/>
        <v>1997</v>
      </c>
      <c r="G471" s="1">
        <v>35496</v>
      </c>
      <c r="H471" s="1">
        <v>35471</v>
      </c>
      <c r="I471">
        <v>3</v>
      </c>
      <c r="J471" t="str">
        <f t="shared" si="23"/>
        <v>DHL</v>
      </c>
      <c r="K471">
        <v>4.07</v>
      </c>
      <c r="L471" t="s">
        <v>39</v>
      </c>
      <c r="M471" t="s">
        <v>410</v>
      </c>
      <c r="N471" t="s">
        <v>411</v>
      </c>
      <c r="O471" t="s">
        <v>412</v>
      </c>
      <c r="P471" t="s">
        <v>413</v>
      </c>
      <c r="Q471" t="s">
        <v>156</v>
      </c>
    </row>
    <row r="472" spans="2:17" customFormat="1" ht="15" hidden="1" x14ac:dyDescent="0.25">
      <c r="B472">
        <v>10505</v>
      </c>
      <c r="C472" t="s">
        <v>408</v>
      </c>
      <c r="D472" s="1">
        <v>35534</v>
      </c>
      <c r="E472" s="1" t="str">
        <f t="shared" si="21"/>
        <v>abr</v>
      </c>
      <c r="F472" s="1" t="str">
        <f t="shared" si="22"/>
        <v>1997</v>
      </c>
      <c r="G472" s="1">
        <v>35562</v>
      </c>
      <c r="H472" s="1">
        <v>35541</v>
      </c>
      <c r="I472">
        <v>3</v>
      </c>
      <c r="J472" t="str">
        <f t="shared" si="23"/>
        <v>DHL</v>
      </c>
      <c r="K472">
        <v>7.13</v>
      </c>
      <c r="L472" t="s">
        <v>39</v>
      </c>
      <c r="M472" t="s">
        <v>410</v>
      </c>
      <c r="N472" t="s">
        <v>411</v>
      </c>
      <c r="O472" t="s">
        <v>412</v>
      </c>
      <c r="P472" t="s">
        <v>413</v>
      </c>
      <c r="Q472" t="s">
        <v>156</v>
      </c>
    </row>
    <row r="473" spans="2:17" customFormat="1" ht="15" hidden="1" x14ac:dyDescent="0.25">
      <c r="B473">
        <v>10565</v>
      </c>
      <c r="C473" t="s">
        <v>408</v>
      </c>
      <c r="D473" s="1">
        <v>35592</v>
      </c>
      <c r="E473" s="1" t="str">
        <f t="shared" si="21"/>
        <v>jun</v>
      </c>
      <c r="F473" s="1" t="str">
        <f t="shared" si="22"/>
        <v>1997</v>
      </c>
      <c r="G473" s="1">
        <v>35620</v>
      </c>
      <c r="H473" s="1">
        <v>35599</v>
      </c>
      <c r="I473">
        <v>2</v>
      </c>
      <c r="J473" t="str">
        <f t="shared" si="23"/>
        <v>USPS</v>
      </c>
      <c r="K473">
        <v>7.15</v>
      </c>
      <c r="L473" t="s">
        <v>39</v>
      </c>
      <c r="M473" t="s">
        <v>410</v>
      </c>
      <c r="N473" t="s">
        <v>411</v>
      </c>
      <c r="O473" t="s">
        <v>412</v>
      </c>
      <c r="P473" t="s">
        <v>413</v>
      </c>
      <c r="Q473" t="s">
        <v>156</v>
      </c>
    </row>
    <row r="474" spans="2:17" customFormat="1" ht="15" hidden="1" x14ac:dyDescent="0.25">
      <c r="B474">
        <v>10570</v>
      </c>
      <c r="C474" t="s">
        <v>408</v>
      </c>
      <c r="D474" s="1">
        <v>35598</v>
      </c>
      <c r="E474" s="1" t="str">
        <f t="shared" si="21"/>
        <v>jun</v>
      </c>
      <c r="F474" s="1" t="str">
        <f t="shared" si="22"/>
        <v>1997</v>
      </c>
      <c r="G474" s="1">
        <v>35626</v>
      </c>
      <c r="H474" s="1">
        <v>35600</v>
      </c>
      <c r="I474">
        <v>3</v>
      </c>
      <c r="J474" t="str">
        <f t="shared" si="23"/>
        <v>DHL</v>
      </c>
      <c r="K474">
        <v>188.99</v>
      </c>
      <c r="L474" t="s">
        <v>39</v>
      </c>
      <c r="M474" t="s">
        <v>410</v>
      </c>
      <c r="N474" t="s">
        <v>411</v>
      </c>
      <c r="O474" t="s">
        <v>412</v>
      </c>
      <c r="P474" t="s">
        <v>413</v>
      </c>
      <c r="Q474" t="s">
        <v>156</v>
      </c>
    </row>
    <row r="475" spans="2:17" customFormat="1" ht="15" hidden="1" x14ac:dyDescent="0.25">
      <c r="B475">
        <v>10590</v>
      </c>
      <c r="C475" t="s">
        <v>408</v>
      </c>
      <c r="D475" s="1">
        <v>35618</v>
      </c>
      <c r="E475" s="1" t="str">
        <f t="shared" si="21"/>
        <v>jul</v>
      </c>
      <c r="F475" s="1" t="str">
        <f t="shared" si="22"/>
        <v>1997</v>
      </c>
      <c r="G475" s="1">
        <v>35646</v>
      </c>
      <c r="H475" s="1">
        <v>35625</v>
      </c>
      <c r="I475">
        <v>3</v>
      </c>
      <c r="J475" t="str">
        <f t="shared" si="23"/>
        <v>DHL</v>
      </c>
      <c r="K475">
        <v>44.77</v>
      </c>
      <c r="L475" t="s">
        <v>39</v>
      </c>
      <c r="M475" t="s">
        <v>410</v>
      </c>
      <c r="N475" t="s">
        <v>411</v>
      </c>
      <c r="O475" t="s">
        <v>412</v>
      </c>
      <c r="P475" t="s">
        <v>413</v>
      </c>
      <c r="Q475" t="s">
        <v>156</v>
      </c>
    </row>
    <row r="476" spans="2:17" customFormat="1" ht="15" hidden="1" x14ac:dyDescent="0.25">
      <c r="B476">
        <v>10605</v>
      </c>
      <c r="C476" t="s">
        <v>408</v>
      </c>
      <c r="D476" s="1">
        <v>35632</v>
      </c>
      <c r="E476" s="1" t="str">
        <f t="shared" si="21"/>
        <v>jul</v>
      </c>
      <c r="F476" s="1" t="str">
        <f t="shared" si="22"/>
        <v>1997</v>
      </c>
      <c r="G476" s="1">
        <v>35660</v>
      </c>
      <c r="H476" s="1">
        <v>35640</v>
      </c>
      <c r="I476">
        <v>2</v>
      </c>
      <c r="J476" t="str">
        <f t="shared" si="23"/>
        <v>USPS</v>
      </c>
      <c r="K476">
        <v>379.13</v>
      </c>
      <c r="L476" t="s">
        <v>39</v>
      </c>
      <c r="M476" t="s">
        <v>410</v>
      </c>
      <c r="N476" t="s">
        <v>411</v>
      </c>
      <c r="O476" t="s">
        <v>412</v>
      </c>
      <c r="P476" t="s">
        <v>413</v>
      </c>
      <c r="Q476" t="s">
        <v>156</v>
      </c>
    </row>
    <row r="477" spans="2:17" customFormat="1" ht="15" hidden="1" x14ac:dyDescent="0.25">
      <c r="B477">
        <v>10618</v>
      </c>
      <c r="C477" t="s">
        <v>408</v>
      </c>
      <c r="D477" s="1">
        <v>35643</v>
      </c>
      <c r="E477" s="1" t="str">
        <f t="shared" si="21"/>
        <v>ago</v>
      </c>
      <c r="F477" s="1" t="str">
        <f t="shared" si="22"/>
        <v>1997</v>
      </c>
      <c r="G477" s="1">
        <v>35685</v>
      </c>
      <c r="H477" s="1">
        <v>35650</v>
      </c>
      <c r="I477">
        <v>1</v>
      </c>
      <c r="J477" t="str">
        <f t="shared" si="23"/>
        <v>UPS</v>
      </c>
      <c r="K477">
        <v>154.68</v>
      </c>
      <c r="L477" t="s">
        <v>39</v>
      </c>
      <c r="M477" t="s">
        <v>410</v>
      </c>
      <c r="N477" t="s">
        <v>411</v>
      </c>
      <c r="O477" t="s">
        <v>412</v>
      </c>
      <c r="P477" t="s">
        <v>413</v>
      </c>
      <c r="Q477" t="s">
        <v>156</v>
      </c>
    </row>
    <row r="478" spans="2:17" customFormat="1" ht="15" hidden="1" x14ac:dyDescent="0.25">
      <c r="B478">
        <v>10619</v>
      </c>
      <c r="C478" t="s">
        <v>408</v>
      </c>
      <c r="D478" s="1">
        <v>35646</v>
      </c>
      <c r="E478" s="1" t="str">
        <f t="shared" si="21"/>
        <v>ago</v>
      </c>
      <c r="F478" s="1" t="str">
        <f t="shared" si="22"/>
        <v>1997</v>
      </c>
      <c r="G478" s="1">
        <v>35674</v>
      </c>
      <c r="H478" s="1">
        <v>35649</v>
      </c>
      <c r="I478">
        <v>3</v>
      </c>
      <c r="J478" t="str">
        <f t="shared" si="23"/>
        <v>DHL</v>
      </c>
      <c r="K478">
        <v>91.05</v>
      </c>
      <c r="L478" t="s">
        <v>39</v>
      </c>
      <c r="M478" t="s">
        <v>410</v>
      </c>
      <c r="N478" t="s">
        <v>411</v>
      </c>
      <c r="O478" t="s">
        <v>412</v>
      </c>
      <c r="P478" t="s">
        <v>413</v>
      </c>
      <c r="Q478" t="s">
        <v>156</v>
      </c>
    </row>
    <row r="479" spans="2:17" customFormat="1" ht="15" hidden="1" x14ac:dyDescent="0.25">
      <c r="B479">
        <v>10724</v>
      </c>
      <c r="C479" t="s">
        <v>408</v>
      </c>
      <c r="D479" s="1">
        <v>35733</v>
      </c>
      <c r="E479" s="1" t="str">
        <f t="shared" si="21"/>
        <v>out</v>
      </c>
      <c r="F479" s="1" t="str">
        <f t="shared" si="22"/>
        <v>1997</v>
      </c>
      <c r="G479" s="1">
        <v>35775</v>
      </c>
      <c r="H479" s="1">
        <v>35739</v>
      </c>
      <c r="I479">
        <v>2</v>
      </c>
      <c r="J479" t="str">
        <f t="shared" si="23"/>
        <v>USPS</v>
      </c>
      <c r="K479">
        <v>57.75</v>
      </c>
      <c r="L479" t="s">
        <v>39</v>
      </c>
      <c r="M479" t="s">
        <v>410</v>
      </c>
      <c r="N479" t="s">
        <v>411</v>
      </c>
      <c r="O479" t="s">
        <v>412</v>
      </c>
      <c r="P479" t="s">
        <v>413</v>
      </c>
      <c r="Q479" t="s">
        <v>156</v>
      </c>
    </row>
    <row r="480" spans="2:17" customFormat="1" ht="15" hidden="1" x14ac:dyDescent="0.25">
      <c r="B480">
        <v>10277</v>
      </c>
      <c r="C480" t="s">
        <v>415</v>
      </c>
      <c r="D480" s="1">
        <v>35286</v>
      </c>
      <c r="E480" s="1" t="str">
        <f t="shared" si="21"/>
        <v>ago</v>
      </c>
      <c r="F480" s="1" t="str">
        <f t="shared" si="22"/>
        <v>1996</v>
      </c>
      <c r="G480" s="1">
        <v>35314</v>
      </c>
      <c r="H480" s="1">
        <v>35290</v>
      </c>
      <c r="I480">
        <v>3</v>
      </c>
      <c r="J480" t="str">
        <f t="shared" si="23"/>
        <v>DHL</v>
      </c>
      <c r="K480">
        <v>125.77</v>
      </c>
      <c r="L480" t="s">
        <v>38</v>
      </c>
      <c r="M480" t="s">
        <v>417</v>
      </c>
      <c r="N480" t="s">
        <v>418</v>
      </c>
      <c r="P480" t="s">
        <v>419</v>
      </c>
      <c r="Q480" t="s">
        <v>94</v>
      </c>
    </row>
    <row r="481" spans="2:17" customFormat="1" ht="15" hidden="1" x14ac:dyDescent="0.25">
      <c r="B481">
        <v>10575</v>
      </c>
      <c r="C481" t="s">
        <v>415</v>
      </c>
      <c r="D481" s="1">
        <v>35601</v>
      </c>
      <c r="E481" s="1" t="str">
        <f t="shared" si="21"/>
        <v>jun</v>
      </c>
      <c r="F481" s="1" t="str">
        <f t="shared" si="22"/>
        <v>1997</v>
      </c>
      <c r="G481" s="1">
        <v>35615</v>
      </c>
      <c r="H481" s="1">
        <v>35611</v>
      </c>
      <c r="I481">
        <v>1</v>
      </c>
      <c r="J481" t="str">
        <f t="shared" si="23"/>
        <v>UPS</v>
      </c>
      <c r="K481">
        <v>127.34</v>
      </c>
      <c r="L481" t="s">
        <v>38</v>
      </c>
      <c r="M481" t="s">
        <v>417</v>
      </c>
      <c r="N481" t="s">
        <v>418</v>
      </c>
      <c r="P481" t="s">
        <v>419</v>
      </c>
      <c r="Q481" t="s">
        <v>94</v>
      </c>
    </row>
    <row r="482" spans="2:17" customFormat="1" ht="15" hidden="1" x14ac:dyDescent="0.25">
      <c r="B482">
        <v>10699</v>
      </c>
      <c r="C482" t="s">
        <v>415</v>
      </c>
      <c r="D482" s="1">
        <v>35712</v>
      </c>
      <c r="E482" s="1" t="str">
        <f t="shared" si="21"/>
        <v>out</v>
      </c>
      <c r="F482" s="1" t="str">
        <f t="shared" si="22"/>
        <v>1997</v>
      </c>
      <c r="G482" s="1">
        <v>35740</v>
      </c>
      <c r="H482" s="1">
        <v>35716</v>
      </c>
      <c r="I482">
        <v>3</v>
      </c>
      <c r="J482" t="str">
        <f t="shared" si="23"/>
        <v>DHL</v>
      </c>
      <c r="K482">
        <v>0.57999999999999996</v>
      </c>
      <c r="L482" t="s">
        <v>38</v>
      </c>
      <c r="M482" t="s">
        <v>417</v>
      </c>
      <c r="N482" t="s">
        <v>418</v>
      </c>
      <c r="P482" t="s">
        <v>419</v>
      </c>
      <c r="Q482" t="s">
        <v>94</v>
      </c>
    </row>
    <row r="483" spans="2:17" customFormat="1" ht="15" hidden="1" x14ac:dyDescent="0.25">
      <c r="B483">
        <v>10779</v>
      </c>
      <c r="C483" t="s">
        <v>415</v>
      </c>
      <c r="D483" s="1">
        <v>35780</v>
      </c>
      <c r="E483" s="1" t="str">
        <f t="shared" si="21"/>
        <v>dez</v>
      </c>
      <c r="F483" s="1" t="str">
        <f t="shared" si="22"/>
        <v>1997</v>
      </c>
      <c r="G483" s="1">
        <v>35808</v>
      </c>
      <c r="H483" s="1">
        <v>35809</v>
      </c>
      <c r="I483">
        <v>2</v>
      </c>
      <c r="J483" t="str">
        <f t="shared" si="23"/>
        <v>USPS</v>
      </c>
      <c r="K483">
        <v>58.13</v>
      </c>
      <c r="L483" t="s">
        <v>38</v>
      </c>
      <c r="M483" t="s">
        <v>417</v>
      </c>
      <c r="N483" t="s">
        <v>418</v>
      </c>
      <c r="P483" t="s">
        <v>419</v>
      </c>
      <c r="Q483" t="s">
        <v>94</v>
      </c>
    </row>
    <row r="484" spans="2:17" customFormat="1" ht="15" hidden="1" x14ac:dyDescent="0.25">
      <c r="B484">
        <v>10945</v>
      </c>
      <c r="C484" t="s">
        <v>415</v>
      </c>
      <c r="D484" s="1">
        <v>35866</v>
      </c>
      <c r="E484" s="1" t="str">
        <f t="shared" si="21"/>
        <v>mar</v>
      </c>
      <c r="F484" s="1" t="str">
        <f t="shared" si="22"/>
        <v>1998</v>
      </c>
      <c r="G484" s="1">
        <v>35894</v>
      </c>
      <c r="H484" s="1">
        <v>35872</v>
      </c>
      <c r="I484">
        <v>1</v>
      </c>
      <c r="J484" t="str">
        <f t="shared" si="23"/>
        <v>UPS</v>
      </c>
      <c r="K484">
        <v>10.220000000000001</v>
      </c>
      <c r="L484" t="s">
        <v>38</v>
      </c>
      <c r="M484" t="s">
        <v>417</v>
      </c>
      <c r="N484" t="s">
        <v>418</v>
      </c>
      <c r="P484" t="s">
        <v>419</v>
      </c>
      <c r="Q484" t="s">
        <v>94</v>
      </c>
    </row>
    <row r="485" spans="2:17" customFormat="1" ht="15" hidden="1" x14ac:dyDescent="0.25">
      <c r="B485">
        <v>10517</v>
      </c>
      <c r="C485" t="s">
        <v>421</v>
      </c>
      <c r="D485" s="1">
        <v>35544</v>
      </c>
      <c r="E485" s="1" t="str">
        <f t="shared" si="21"/>
        <v>abr</v>
      </c>
      <c r="F485" s="1" t="str">
        <f t="shared" si="22"/>
        <v>1997</v>
      </c>
      <c r="G485" s="1">
        <v>35572</v>
      </c>
      <c r="H485" s="1">
        <v>35549</v>
      </c>
      <c r="I485">
        <v>3</v>
      </c>
      <c r="J485" t="str">
        <f t="shared" si="23"/>
        <v>DHL</v>
      </c>
      <c r="K485">
        <v>32.07</v>
      </c>
      <c r="L485" t="s">
        <v>37</v>
      </c>
      <c r="M485" t="s">
        <v>423</v>
      </c>
      <c r="N485" t="s">
        <v>111</v>
      </c>
      <c r="P485" t="s">
        <v>424</v>
      </c>
      <c r="Q485" t="s">
        <v>113</v>
      </c>
    </row>
    <row r="486" spans="2:17" customFormat="1" ht="15" hidden="1" x14ac:dyDescent="0.25">
      <c r="B486">
        <v>10752</v>
      </c>
      <c r="C486" t="s">
        <v>421</v>
      </c>
      <c r="D486" s="1">
        <v>35758</v>
      </c>
      <c r="E486" s="1" t="str">
        <f t="shared" si="21"/>
        <v>nov</v>
      </c>
      <c r="F486" s="1" t="str">
        <f t="shared" si="22"/>
        <v>1997</v>
      </c>
      <c r="G486" s="1">
        <v>35786</v>
      </c>
      <c r="H486" s="1">
        <v>35762</v>
      </c>
      <c r="I486">
        <v>3</v>
      </c>
      <c r="J486" t="str">
        <f t="shared" si="23"/>
        <v>DHL</v>
      </c>
      <c r="K486">
        <v>1.39</v>
      </c>
      <c r="L486" t="s">
        <v>37</v>
      </c>
      <c r="M486" t="s">
        <v>423</v>
      </c>
      <c r="N486" t="s">
        <v>111</v>
      </c>
      <c r="P486" t="s">
        <v>424</v>
      </c>
      <c r="Q486" t="s">
        <v>113</v>
      </c>
    </row>
    <row r="487" spans="2:17" customFormat="1" ht="15" hidden="1" x14ac:dyDescent="0.25">
      <c r="B487">
        <v>11057</v>
      </c>
      <c r="C487" t="s">
        <v>421</v>
      </c>
      <c r="D487" s="1">
        <v>35914</v>
      </c>
      <c r="E487" s="1" t="str">
        <f t="shared" si="21"/>
        <v>abr</v>
      </c>
      <c r="F487" s="1" t="str">
        <f t="shared" si="22"/>
        <v>1998</v>
      </c>
      <c r="G487" s="1">
        <v>35942</v>
      </c>
      <c r="H487" s="1">
        <v>35916</v>
      </c>
      <c r="I487">
        <v>3</v>
      </c>
      <c r="J487" t="str">
        <f t="shared" si="23"/>
        <v>DHL</v>
      </c>
      <c r="K487">
        <v>4.13</v>
      </c>
      <c r="L487" t="s">
        <v>37</v>
      </c>
      <c r="M487" t="s">
        <v>423</v>
      </c>
      <c r="N487" t="s">
        <v>111</v>
      </c>
      <c r="P487" t="s">
        <v>424</v>
      </c>
      <c r="Q487" t="s">
        <v>113</v>
      </c>
    </row>
    <row r="488" spans="2:17" customFormat="1" ht="15" hidden="1" x14ac:dyDescent="0.25">
      <c r="B488">
        <v>10409</v>
      </c>
      <c r="C488" t="s">
        <v>426</v>
      </c>
      <c r="D488" s="1">
        <v>35439</v>
      </c>
      <c r="E488" s="1" t="str">
        <f t="shared" si="21"/>
        <v>jan</v>
      </c>
      <c r="F488" s="1" t="str">
        <f t="shared" si="22"/>
        <v>1997</v>
      </c>
      <c r="G488" s="1">
        <v>35467</v>
      </c>
      <c r="H488" s="1">
        <v>35444</v>
      </c>
      <c r="I488">
        <v>1</v>
      </c>
      <c r="J488" t="str">
        <f t="shared" si="23"/>
        <v>UPS</v>
      </c>
      <c r="K488">
        <v>29.83</v>
      </c>
      <c r="L488" t="s">
        <v>36</v>
      </c>
      <c r="M488" t="s">
        <v>428</v>
      </c>
      <c r="N488" t="s">
        <v>167</v>
      </c>
      <c r="P488" t="s">
        <v>168</v>
      </c>
      <c r="Q488" t="s">
        <v>169</v>
      </c>
    </row>
    <row r="489" spans="2:17" customFormat="1" ht="15" hidden="1" x14ac:dyDescent="0.25">
      <c r="B489">
        <v>10531</v>
      </c>
      <c r="C489" t="s">
        <v>426</v>
      </c>
      <c r="D489" s="1">
        <v>35558</v>
      </c>
      <c r="E489" s="1" t="str">
        <f t="shared" si="21"/>
        <v>mai</v>
      </c>
      <c r="F489" s="1" t="str">
        <f t="shared" si="22"/>
        <v>1997</v>
      </c>
      <c r="G489" s="1">
        <v>35586</v>
      </c>
      <c r="H489" s="1">
        <v>35569</v>
      </c>
      <c r="I489">
        <v>1</v>
      </c>
      <c r="J489" t="str">
        <f t="shared" si="23"/>
        <v>UPS</v>
      </c>
      <c r="K489">
        <v>8.1199999999999992</v>
      </c>
      <c r="L489" t="s">
        <v>36</v>
      </c>
      <c r="M489" t="s">
        <v>428</v>
      </c>
      <c r="N489" t="s">
        <v>167</v>
      </c>
      <c r="P489" t="s">
        <v>168</v>
      </c>
      <c r="Q489" t="s">
        <v>169</v>
      </c>
    </row>
    <row r="490" spans="2:17" customFormat="1" ht="15" hidden="1" x14ac:dyDescent="0.25">
      <c r="B490">
        <v>10898</v>
      </c>
      <c r="C490" t="s">
        <v>426</v>
      </c>
      <c r="D490" s="1">
        <v>35846</v>
      </c>
      <c r="E490" s="1" t="str">
        <f t="shared" si="21"/>
        <v>fev</v>
      </c>
      <c r="F490" s="1" t="str">
        <f t="shared" si="22"/>
        <v>1998</v>
      </c>
      <c r="G490" s="1">
        <v>35874</v>
      </c>
      <c r="H490" s="1">
        <v>35860</v>
      </c>
      <c r="I490">
        <v>2</v>
      </c>
      <c r="J490" t="str">
        <f t="shared" si="23"/>
        <v>USPS</v>
      </c>
      <c r="K490">
        <v>1.27</v>
      </c>
      <c r="L490" t="s">
        <v>36</v>
      </c>
      <c r="M490" t="s">
        <v>428</v>
      </c>
      <c r="N490" t="s">
        <v>167</v>
      </c>
      <c r="P490" t="s">
        <v>168</v>
      </c>
      <c r="Q490" t="s">
        <v>169</v>
      </c>
    </row>
    <row r="491" spans="2:17" customFormat="1" ht="15" hidden="1" x14ac:dyDescent="0.25">
      <c r="B491">
        <v>10958</v>
      </c>
      <c r="C491" t="s">
        <v>426</v>
      </c>
      <c r="D491" s="1">
        <v>35872</v>
      </c>
      <c r="E491" s="1" t="str">
        <f t="shared" si="21"/>
        <v>mar</v>
      </c>
      <c r="F491" s="1" t="str">
        <f t="shared" si="22"/>
        <v>1998</v>
      </c>
      <c r="G491" s="1">
        <v>35900</v>
      </c>
      <c r="H491" s="1">
        <v>35881</v>
      </c>
      <c r="I491">
        <v>2</v>
      </c>
      <c r="J491" t="str">
        <f t="shared" si="23"/>
        <v>USPS</v>
      </c>
      <c r="K491">
        <v>49.56</v>
      </c>
      <c r="L491" t="s">
        <v>36</v>
      </c>
      <c r="M491" t="s">
        <v>428</v>
      </c>
      <c r="N491" t="s">
        <v>167</v>
      </c>
      <c r="P491" t="s">
        <v>168</v>
      </c>
      <c r="Q491" t="s">
        <v>169</v>
      </c>
    </row>
    <row r="492" spans="2:17" customFormat="1" ht="15" hidden="1" x14ac:dyDescent="0.25">
      <c r="B492">
        <v>10986</v>
      </c>
      <c r="C492" t="s">
        <v>426</v>
      </c>
      <c r="D492" s="1">
        <v>35884</v>
      </c>
      <c r="E492" s="1" t="str">
        <f t="shared" si="21"/>
        <v>mar</v>
      </c>
      <c r="F492" s="1" t="str">
        <f t="shared" si="22"/>
        <v>1998</v>
      </c>
      <c r="G492" s="1">
        <v>35912</v>
      </c>
      <c r="H492" s="1">
        <v>35906</v>
      </c>
      <c r="I492">
        <v>2</v>
      </c>
      <c r="J492" t="str">
        <f t="shared" si="23"/>
        <v>USPS</v>
      </c>
      <c r="K492">
        <v>217.86</v>
      </c>
      <c r="L492" t="s">
        <v>36</v>
      </c>
      <c r="M492" t="s">
        <v>428</v>
      </c>
      <c r="N492" t="s">
        <v>167</v>
      </c>
      <c r="P492" t="s">
        <v>168</v>
      </c>
      <c r="Q492" t="s">
        <v>169</v>
      </c>
    </row>
    <row r="493" spans="2:17" customFormat="1" ht="15" hidden="1" x14ac:dyDescent="0.25">
      <c r="B493">
        <v>10260</v>
      </c>
      <c r="C493" t="s">
        <v>430</v>
      </c>
      <c r="D493" s="1">
        <v>35265</v>
      </c>
      <c r="E493" s="1" t="str">
        <f t="shared" si="21"/>
        <v>jul</v>
      </c>
      <c r="F493" s="1" t="str">
        <f t="shared" si="22"/>
        <v>1996</v>
      </c>
      <c r="G493" s="1">
        <v>35293</v>
      </c>
      <c r="H493" s="1">
        <v>35275</v>
      </c>
      <c r="I493">
        <v>1</v>
      </c>
      <c r="J493" t="str">
        <f t="shared" si="23"/>
        <v>UPS</v>
      </c>
      <c r="K493">
        <v>55.09</v>
      </c>
      <c r="L493" t="s">
        <v>35</v>
      </c>
      <c r="M493" t="s">
        <v>439</v>
      </c>
      <c r="N493" t="s">
        <v>440</v>
      </c>
      <c r="P493" t="s">
        <v>441</v>
      </c>
      <c r="Q493" t="s">
        <v>94</v>
      </c>
    </row>
    <row r="494" spans="2:17" customFormat="1" ht="15" hidden="1" x14ac:dyDescent="0.25">
      <c r="B494">
        <v>10305</v>
      </c>
      <c r="C494" t="s">
        <v>430</v>
      </c>
      <c r="D494" s="1">
        <v>35321</v>
      </c>
      <c r="E494" s="1" t="str">
        <f t="shared" si="21"/>
        <v>set</v>
      </c>
      <c r="F494" s="1" t="str">
        <f t="shared" si="22"/>
        <v>1996</v>
      </c>
      <c r="G494" s="1">
        <v>35349</v>
      </c>
      <c r="H494" s="1">
        <v>35347</v>
      </c>
      <c r="I494">
        <v>3</v>
      </c>
      <c r="J494" t="str">
        <f t="shared" si="23"/>
        <v>DHL</v>
      </c>
      <c r="K494">
        <v>257.62</v>
      </c>
      <c r="L494" t="s">
        <v>32</v>
      </c>
      <c r="M494" t="s">
        <v>432</v>
      </c>
      <c r="N494" t="s">
        <v>433</v>
      </c>
      <c r="O494" t="s">
        <v>434</v>
      </c>
      <c r="P494" t="s">
        <v>435</v>
      </c>
      <c r="Q494" t="s">
        <v>290</v>
      </c>
    </row>
    <row r="495" spans="2:17" customFormat="1" ht="15" hidden="1" x14ac:dyDescent="0.25">
      <c r="B495">
        <v>10338</v>
      </c>
      <c r="C495" t="s">
        <v>430</v>
      </c>
      <c r="D495" s="1">
        <v>35363</v>
      </c>
      <c r="E495" s="1" t="str">
        <f t="shared" si="21"/>
        <v>out</v>
      </c>
      <c r="F495" s="1" t="str">
        <f t="shared" si="22"/>
        <v>1996</v>
      </c>
      <c r="G495" s="1">
        <v>35391</v>
      </c>
      <c r="H495" s="1">
        <v>35367</v>
      </c>
      <c r="I495">
        <v>3</v>
      </c>
      <c r="J495" t="str">
        <f t="shared" si="23"/>
        <v>DHL</v>
      </c>
      <c r="K495">
        <v>84.21</v>
      </c>
      <c r="L495" t="s">
        <v>32</v>
      </c>
      <c r="M495" t="s">
        <v>432</v>
      </c>
      <c r="N495" t="s">
        <v>433</v>
      </c>
      <c r="O495" t="s">
        <v>434</v>
      </c>
      <c r="P495" t="s">
        <v>435</v>
      </c>
      <c r="Q495" t="s">
        <v>290</v>
      </c>
    </row>
    <row r="496" spans="2:17" customFormat="1" ht="15" hidden="1" x14ac:dyDescent="0.25">
      <c r="B496">
        <v>10441</v>
      </c>
      <c r="C496" t="s">
        <v>430</v>
      </c>
      <c r="D496" s="1">
        <v>35471</v>
      </c>
      <c r="E496" s="1" t="str">
        <f t="shared" si="21"/>
        <v>fev</v>
      </c>
      <c r="F496" s="1" t="str">
        <f t="shared" si="22"/>
        <v>1997</v>
      </c>
      <c r="G496" s="1">
        <v>35513</v>
      </c>
      <c r="H496" s="1">
        <v>35503</v>
      </c>
      <c r="I496">
        <v>2</v>
      </c>
      <c r="J496" t="str">
        <f t="shared" si="23"/>
        <v>USPS</v>
      </c>
      <c r="K496">
        <v>73.02</v>
      </c>
      <c r="L496" t="s">
        <v>32</v>
      </c>
      <c r="M496" t="s">
        <v>432</v>
      </c>
      <c r="N496" t="s">
        <v>433</v>
      </c>
      <c r="O496" t="s">
        <v>434</v>
      </c>
      <c r="P496" t="s">
        <v>435</v>
      </c>
      <c r="Q496" t="s">
        <v>290</v>
      </c>
    </row>
    <row r="497" spans="2:17" customFormat="1" ht="15" hidden="1" x14ac:dyDescent="0.25">
      <c r="B497">
        <v>10594</v>
      </c>
      <c r="C497" t="s">
        <v>430</v>
      </c>
      <c r="D497" s="1">
        <v>35620</v>
      </c>
      <c r="E497" s="1" t="str">
        <f t="shared" si="21"/>
        <v>jul</v>
      </c>
      <c r="F497" s="1" t="str">
        <f t="shared" si="22"/>
        <v>1997</v>
      </c>
      <c r="G497" s="1">
        <v>35648</v>
      </c>
      <c r="H497" s="1">
        <v>35627</v>
      </c>
      <c r="I497">
        <v>2</v>
      </c>
      <c r="J497" t="str">
        <f t="shared" si="23"/>
        <v>USPS</v>
      </c>
      <c r="K497">
        <v>5.24</v>
      </c>
      <c r="L497" t="s">
        <v>32</v>
      </c>
      <c r="M497" t="s">
        <v>432</v>
      </c>
      <c r="N497" t="s">
        <v>433</v>
      </c>
      <c r="O497" t="s">
        <v>434</v>
      </c>
      <c r="P497" t="s">
        <v>435</v>
      </c>
      <c r="Q497" t="s">
        <v>290</v>
      </c>
    </row>
    <row r="498" spans="2:17" customFormat="1" ht="15" hidden="1" x14ac:dyDescent="0.25">
      <c r="B498">
        <v>10680</v>
      </c>
      <c r="C498" t="s">
        <v>430</v>
      </c>
      <c r="D498" s="1">
        <v>35697</v>
      </c>
      <c r="E498" s="1" t="str">
        <f t="shared" si="21"/>
        <v>set</v>
      </c>
      <c r="F498" s="1" t="str">
        <f t="shared" si="22"/>
        <v>1997</v>
      </c>
      <c r="G498" s="1">
        <v>35725</v>
      </c>
      <c r="H498" s="1">
        <v>35699</v>
      </c>
      <c r="I498">
        <v>1</v>
      </c>
      <c r="J498" t="str">
        <f t="shared" si="23"/>
        <v>UPS</v>
      </c>
      <c r="K498">
        <v>26.61</v>
      </c>
      <c r="L498" t="s">
        <v>32</v>
      </c>
      <c r="M498" t="s">
        <v>432</v>
      </c>
      <c r="N498" t="s">
        <v>433</v>
      </c>
      <c r="O498" t="s">
        <v>434</v>
      </c>
      <c r="P498" t="s">
        <v>435</v>
      </c>
      <c r="Q498" t="s">
        <v>290</v>
      </c>
    </row>
    <row r="499" spans="2:17" customFormat="1" ht="15" hidden="1" x14ac:dyDescent="0.25">
      <c r="B499">
        <v>10706</v>
      </c>
      <c r="C499" t="s">
        <v>430</v>
      </c>
      <c r="D499" s="1">
        <v>35719</v>
      </c>
      <c r="E499" s="1" t="str">
        <f t="shared" si="21"/>
        <v>out</v>
      </c>
      <c r="F499" s="1" t="str">
        <f t="shared" si="22"/>
        <v>1997</v>
      </c>
      <c r="G499" s="1">
        <v>35747</v>
      </c>
      <c r="H499" s="1">
        <v>35724</v>
      </c>
      <c r="I499">
        <v>3</v>
      </c>
      <c r="J499" t="str">
        <f t="shared" si="23"/>
        <v>DHL</v>
      </c>
      <c r="K499">
        <v>135.63</v>
      </c>
      <c r="L499" t="s">
        <v>32</v>
      </c>
      <c r="M499" t="s">
        <v>432</v>
      </c>
      <c r="N499" t="s">
        <v>433</v>
      </c>
      <c r="O499" t="s">
        <v>434</v>
      </c>
      <c r="P499" t="s">
        <v>435</v>
      </c>
      <c r="Q499" t="s">
        <v>290</v>
      </c>
    </row>
    <row r="500" spans="2:17" customFormat="1" ht="15" hidden="1" x14ac:dyDescent="0.25">
      <c r="B500">
        <v>10855</v>
      </c>
      <c r="C500" t="s">
        <v>430</v>
      </c>
      <c r="D500" s="1">
        <v>35822</v>
      </c>
      <c r="E500" s="1" t="str">
        <f t="shared" si="21"/>
        <v>jan</v>
      </c>
      <c r="F500" s="1" t="str">
        <f t="shared" si="22"/>
        <v>1998</v>
      </c>
      <c r="G500" s="1">
        <v>35850</v>
      </c>
      <c r="H500" s="1">
        <v>35830</v>
      </c>
      <c r="I500">
        <v>1</v>
      </c>
      <c r="J500" t="str">
        <f t="shared" si="23"/>
        <v>UPS</v>
      </c>
      <c r="K500">
        <v>170.97</v>
      </c>
      <c r="L500" t="s">
        <v>32</v>
      </c>
      <c r="M500" t="s">
        <v>432</v>
      </c>
      <c r="N500" t="s">
        <v>433</v>
      </c>
      <c r="O500" t="s">
        <v>434</v>
      </c>
      <c r="P500" t="s">
        <v>435</v>
      </c>
      <c r="Q500" t="s">
        <v>290</v>
      </c>
    </row>
    <row r="501" spans="2:17" customFormat="1" ht="15" hidden="1" x14ac:dyDescent="0.25">
      <c r="B501">
        <v>10965</v>
      </c>
      <c r="C501" t="s">
        <v>430</v>
      </c>
      <c r="D501" s="1">
        <v>35874</v>
      </c>
      <c r="E501" s="1" t="str">
        <f t="shared" si="21"/>
        <v>mar</v>
      </c>
      <c r="F501" s="1" t="str">
        <f t="shared" si="22"/>
        <v>1998</v>
      </c>
      <c r="G501" s="1">
        <v>35902</v>
      </c>
      <c r="H501" s="1">
        <v>35884</v>
      </c>
      <c r="I501">
        <v>3</v>
      </c>
      <c r="J501" t="str">
        <f t="shared" si="23"/>
        <v>DHL</v>
      </c>
      <c r="K501">
        <v>144.38</v>
      </c>
      <c r="L501" t="s">
        <v>32</v>
      </c>
      <c r="M501" t="s">
        <v>432</v>
      </c>
      <c r="N501" t="s">
        <v>433</v>
      </c>
      <c r="O501" t="s">
        <v>434</v>
      </c>
      <c r="P501" t="s">
        <v>435</v>
      </c>
      <c r="Q501" t="s">
        <v>290</v>
      </c>
    </row>
    <row r="502" spans="2:17" customFormat="1" ht="15" hidden="1" x14ac:dyDescent="0.25">
      <c r="B502">
        <v>11034</v>
      </c>
      <c r="C502" t="s">
        <v>430</v>
      </c>
      <c r="D502" s="1">
        <v>35905</v>
      </c>
      <c r="E502" s="1" t="str">
        <f t="shared" si="21"/>
        <v>abr</v>
      </c>
      <c r="F502" s="1" t="str">
        <f t="shared" si="22"/>
        <v>1998</v>
      </c>
      <c r="G502" s="1">
        <v>35947</v>
      </c>
      <c r="H502" s="1">
        <v>35912</v>
      </c>
      <c r="I502">
        <v>1</v>
      </c>
      <c r="J502" t="str">
        <f t="shared" si="23"/>
        <v>UPS</v>
      </c>
      <c r="K502">
        <v>40.32</v>
      </c>
      <c r="L502" t="s">
        <v>32</v>
      </c>
      <c r="M502" t="s">
        <v>432</v>
      </c>
      <c r="N502" t="s">
        <v>433</v>
      </c>
      <c r="O502" t="s">
        <v>434</v>
      </c>
      <c r="P502" t="s">
        <v>435</v>
      </c>
      <c r="Q502" t="s">
        <v>290</v>
      </c>
    </row>
    <row r="503" spans="2:17" customFormat="1" ht="15" hidden="1" x14ac:dyDescent="0.25">
      <c r="B503">
        <v>10407</v>
      </c>
      <c r="C503" t="s">
        <v>437</v>
      </c>
      <c r="D503" s="1">
        <v>35437</v>
      </c>
      <c r="E503" s="1" t="str">
        <f t="shared" si="21"/>
        <v>jan</v>
      </c>
      <c r="F503" s="1" t="str">
        <f t="shared" si="22"/>
        <v>1997</v>
      </c>
      <c r="G503" s="1">
        <v>35465</v>
      </c>
      <c r="H503" s="1">
        <v>35460</v>
      </c>
      <c r="I503">
        <v>2</v>
      </c>
      <c r="J503" t="str">
        <f t="shared" si="23"/>
        <v>USPS</v>
      </c>
      <c r="K503">
        <v>91.48</v>
      </c>
      <c r="L503" t="s">
        <v>35</v>
      </c>
      <c r="M503" t="s">
        <v>439</v>
      </c>
      <c r="N503" t="s">
        <v>440</v>
      </c>
      <c r="P503" t="s">
        <v>441</v>
      </c>
      <c r="Q503" t="s">
        <v>94</v>
      </c>
    </row>
    <row r="504" spans="2:17" customFormat="1" ht="15" hidden="1" x14ac:dyDescent="0.25">
      <c r="B504">
        <v>10508</v>
      </c>
      <c r="C504" t="s">
        <v>437</v>
      </c>
      <c r="D504" s="1">
        <v>35536</v>
      </c>
      <c r="E504" s="1" t="str">
        <f t="shared" si="21"/>
        <v>abr</v>
      </c>
      <c r="F504" s="1" t="str">
        <f t="shared" si="22"/>
        <v>1997</v>
      </c>
      <c r="G504" s="1">
        <v>35564</v>
      </c>
      <c r="H504" s="1">
        <v>35563</v>
      </c>
      <c r="I504">
        <v>2</v>
      </c>
      <c r="J504" t="str">
        <f t="shared" si="23"/>
        <v>USPS</v>
      </c>
      <c r="K504">
        <v>4.99</v>
      </c>
      <c r="L504" t="s">
        <v>35</v>
      </c>
      <c r="M504" t="s">
        <v>439</v>
      </c>
      <c r="N504" t="s">
        <v>440</v>
      </c>
      <c r="P504" t="s">
        <v>441</v>
      </c>
      <c r="Q504" t="s">
        <v>94</v>
      </c>
    </row>
    <row r="505" spans="2:17" customFormat="1" ht="15" hidden="1" x14ac:dyDescent="0.25">
      <c r="B505">
        <v>10554</v>
      </c>
      <c r="C505" t="s">
        <v>437</v>
      </c>
      <c r="D505" s="1">
        <v>35580</v>
      </c>
      <c r="E505" s="1" t="str">
        <f t="shared" si="21"/>
        <v>mai</v>
      </c>
      <c r="F505" s="1" t="str">
        <f t="shared" si="22"/>
        <v>1997</v>
      </c>
      <c r="G505" s="1">
        <v>35608</v>
      </c>
      <c r="H505" s="1">
        <v>35586</v>
      </c>
      <c r="I505">
        <v>3</v>
      </c>
      <c r="J505" t="str">
        <f t="shared" si="23"/>
        <v>DHL</v>
      </c>
      <c r="K505">
        <v>120.97</v>
      </c>
      <c r="L505" t="s">
        <v>35</v>
      </c>
      <c r="M505" t="s">
        <v>439</v>
      </c>
      <c r="N505" t="s">
        <v>440</v>
      </c>
      <c r="P505" t="s">
        <v>441</v>
      </c>
      <c r="Q505" t="s">
        <v>94</v>
      </c>
    </row>
    <row r="506" spans="2:17" customFormat="1" ht="15" hidden="1" x14ac:dyDescent="0.25">
      <c r="B506">
        <v>10580</v>
      </c>
      <c r="C506" t="s">
        <v>437</v>
      </c>
      <c r="D506" s="1">
        <v>35607</v>
      </c>
      <c r="E506" s="1" t="str">
        <f t="shared" si="21"/>
        <v>jun</v>
      </c>
      <c r="F506" s="1" t="str">
        <f t="shared" si="22"/>
        <v>1997</v>
      </c>
      <c r="G506" s="1">
        <v>35635</v>
      </c>
      <c r="H506" s="1">
        <v>35612</v>
      </c>
      <c r="I506">
        <v>3</v>
      </c>
      <c r="J506" t="str">
        <f t="shared" si="23"/>
        <v>DHL</v>
      </c>
      <c r="K506">
        <v>75.89</v>
      </c>
      <c r="L506" t="s">
        <v>35</v>
      </c>
      <c r="M506" t="s">
        <v>439</v>
      </c>
      <c r="N506" t="s">
        <v>440</v>
      </c>
      <c r="P506" t="s">
        <v>441</v>
      </c>
      <c r="Q506" t="s">
        <v>94</v>
      </c>
    </row>
    <row r="507" spans="2:17" customFormat="1" ht="15" hidden="1" x14ac:dyDescent="0.25">
      <c r="B507">
        <v>10684</v>
      </c>
      <c r="C507" t="s">
        <v>437</v>
      </c>
      <c r="D507" s="1">
        <v>35699</v>
      </c>
      <c r="E507" s="1" t="str">
        <f t="shared" si="21"/>
        <v>set</v>
      </c>
      <c r="F507" s="1" t="str">
        <f t="shared" si="22"/>
        <v>1997</v>
      </c>
      <c r="G507" s="1">
        <v>35727</v>
      </c>
      <c r="H507" s="1">
        <v>35703</v>
      </c>
      <c r="I507">
        <v>1</v>
      </c>
      <c r="J507" t="str">
        <f t="shared" si="23"/>
        <v>UPS</v>
      </c>
      <c r="K507">
        <v>145.63</v>
      </c>
      <c r="L507" t="s">
        <v>35</v>
      </c>
      <c r="M507" t="s">
        <v>439</v>
      </c>
      <c r="N507" t="s">
        <v>440</v>
      </c>
      <c r="P507" t="s">
        <v>441</v>
      </c>
      <c r="Q507" t="s">
        <v>94</v>
      </c>
    </row>
    <row r="508" spans="2:17" customFormat="1" ht="15" hidden="1" x14ac:dyDescent="0.25">
      <c r="B508">
        <v>10766</v>
      </c>
      <c r="C508" t="s">
        <v>437</v>
      </c>
      <c r="D508" s="1">
        <v>35769</v>
      </c>
      <c r="E508" s="1" t="str">
        <f t="shared" si="21"/>
        <v>dez</v>
      </c>
      <c r="F508" s="1" t="str">
        <f t="shared" si="22"/>
        <v>1997</v>
      </c>
      <c r="G508" s="1">
        <v>35797</v>
      </c>
      <c r="H508" s="1">
        <v>35773</v>
      </c>
      <c r="I508">
        <v>1</v>
      </c>
      <c r="J508" t="str">
        <f t="shared" si="23"/>
        <v>UPS</v>
      </c>
      <c r="K508">
        <v>157.55000000000001</v>
      </c>
      <c r="L508" t="s">
        <v>35</v>
      </c>
      <c r="M508" t="s">
        <v>439</v>
      </c>
      <c r="N508" t="s">
        <v>440</v>
      </c>
      <c r="P508" t="s">
        <v>441</v>
      </c>
      <c r="Q508" t="s">
        <v>94</v>
      </c>
    </row>
    <row r="509" spans="2:17" customFormat="1" ht="15" hidden="1" x14ac:dyDescent="0.25">
      <c r="B509">
        <v>10833</v>
      </c>
      <c r="C509" t="s">
        <v>437</v>
      </c>
      <c r="D509" s="1">
        <v>35810</v>
      </c>
      <c r="E509" s="1" t="str">
        <f t="shared" si="21"/>
        <v>jan</v>
      </c>
      <c r="F509" s="1" t="str">
        <f t="shared" si="22"/>
        <v>1998</v>
      </c>
      <c r="G509" s="1">
        <v>35838</v>
      </c>
      <c r="H509" s="1">
        <v>35818</v>
      </c>
      <c r="I509">
        <v>2</v>
      </c>
      <c r="J509" t="str">
        <f t="shared" si="23"/>
        <v>USPS</v>
      </c>
      <c r="K509">
        <v>71.489999999999995</v>
      </c>
      <c r="L509" t="s">
        <v>35</v>
      </c>
      <c r="M509" t="s">
        <v>439</v>
      </c>
      <c r="N509" t="s">
        <v>440</v>
      </c>
      <c r="P509" t="s">
        <v>441</v>
      </c>
      <c r="Q509" t="s">
        <v>94</v>
      </c>
    </row>
    <row r="510" spans="2:17" customFormat="1" ht="15" hidden="1" x14ac:dyDescent="0.25">
      <c r="B510">
        <v>10999</v>
      </c>
      <c r="C510" t="s">
        <v>437</v>
      </c>
      <c r="D510" s="1">
        <v>35888</v>
      </c>
      <c r="E510" s="1" t="str">
        <f t="shared" si="21"/>
        <v>abr</v>
      </c>
      <c r="F510" s="1" t="str">
        <f t="shared" si="22"/>
        <v>1998</v>
      </c>
      <c r="G510" s="1">
        <v>35916</v>
      </c>
      <c r="H510" s="1">
        <v>35895</v>
      </c>
      <c r="I510">
        <v>2</v>
      </c>
      <c r="J510" t="str">
        <f t="shared" si="23"/>
        <v>USPS</v>
      </c>
      <c r="K510">
        <v>96.35</v>
      </c>
      <c r="L510" t="s">
        <v>35</v>
      </c>
      <c r="M510" t="s">
        <v>439</v>
      </c>
      <c r="N510" t="s">
        <v>440</v>
      </c>
      <c r="P510" t="s">
        <v>441</v>
      </c>
      <c r="Q510" t="s">
        <v>94</v>
      </c>
    </row>
    <row r="511" spans="2:17" customFormat="1" ht="15" hidden="1" x14ac:dyDescent="0.25">
      <c r="B511">
        <v>11020</v>
      </c>
      <c r="C511" t="s">
        <v>437</v>
      </c>
      <c r="D511" s="1">
        <v>35899</v>
      </c>
      <c r="E511" s="1" t="str">
        <f t="shared" si="21"/>
        <v>abr</v>
      </c>
      <c r="F511" s="1" t="str">
        <f t="shared" si="22"/>
        <v>1998</v>
      </c>
      <c r="G511" s="1">
        <v>35927</v>
      </c>
      <c r="H511" s="1">
        <v>35901</v>
      </c>
      <c r="I511">
        <v>2</v>
      </c>
      <c r="J511" t="str">
        <f t="shared" si="23"/>
        <v>USPS</v>
      </c>
      <c r="K511">
        <v>43.3</v>
      </c>
      <c r="L511" t="s">
        <v>35</v>
      </c>
      <c r="M511" t="s">
        <v>439</v>
      </c>
      <c r="N511" t="s">
        <v>440</v>
      </c>
      <c r="P511" t="s">
        <v>441</v>
      </c>
      <c r="Q511" t="s">
        <v>94</v>
      </c>
    </row>
    <row r="512" spans="2:17" customFormat="1" ht="15" hidden="1" x14ac:dyDescent="0.25">
      <c r="B512">
        <v>10322</v>
      </c>
      <c r="C512" t="s">
        <v>450</v>
      </c>
      <c r="D512" s="1">
        <v>35342</v>
      </c>
      <c r="E512" s="1" t="str">
        <f t="shared" si="21"/>
        <v>out</v>
      </c>
      <c r="F512" s="1" t="str">
        <f t="shared" si="22"/>
        <v>1996</v>
      </c>
      <c r="G512" s="1">
        <v>35370</v>
      </c>
      <c r="H512" s="1">
        <v>35361</v>
      </c>
      <c r="I512">
        <v>3</v>
      </c>
      <c r="J512" t="str">
        <f t="shared" si="23"/>
        <v>DHL</v>
      </c>
      <c r="K512">
        <v>0.4</v>
      </c>
      <c r="L512" t="s">
        <v>34</v>
      </c>
      <c r="M512" t="s">
        <v>452</v>
      </c>
      <c r="N512" t="s">
        <v>100</v>
      </c>
      <c r="P512" t="s">
        <v>453</v>
      </c>
      <c r="Q512" t="s">
        <v>102</v>
      </c>
    </row>
    <row r="513" spans="2:17" customFormat="1" ht="15" hidden="1" x14ac:dyDescent="0.25">
      <c r="B513">
        <v>10354</v>
      </c>
      <c r="C513" t="s">
        <v>450</v>
      </c>
      <c r="D513" s="1">
        <v>35383</v>
      </c>
      <c r="E513" s="1" t="str">
        <f t="shared" si="21"/>
        <v>nov</v>
      </c>
      <c r="F513" s="1" t="str">
        <f t="shared" si="22"/>
        <v>1996</v>
      </c>
      <c r="G513" s="1">
        <v>35411</v>
      </c>
      <c r="H513" s="1">
        <v>35389</v>
      </c>
      <c r="I513">
        <v>3</v>
      </c>
      <c r="J513" t="str">
        <f t="shared" si="23"/>
        <v>DHL</v>
      </c>
      <c r="K513">
        <v>53.8</v>
      </c>
      <c r="L513" t="s">
        <v>34</v>
      </c>
      <c r="M513" t="s">
        <v>452</v>
      </c>
      <c r="N513" t="s">
        <v>100</v>
      </c>
      <c r="P513" t="s">
        <v>453</v>
      </c>
      <c r="Q513" t="s">
        <v>102</v>
      </c>
    </row>
    <row r="514" spans="2:17" customFormat="1" ht="15" hidden="1" x14ac:dyDescent="0.25">
      <c r="B514">
        <v>10474</v>
      </c>
      <c r="C514" t="s">
        <v>450</v>
      </c>
      <c r="D514" s="1">
        <v>35502</v>
      </c>
      <c r="E514" s="1" t="str">
        <f t="shared" si="21"/>
        <v>mar</v>
      </c>
      <c r="F514" s="1" t="str">
        <f t="shared" si="22"/>
        <v>1997</v>
      </c>
      <c r="G514" s="1">
        <v>35530</v>
      </c>
      <c r="H514" s="1">
        <v>35510</v>
      </c>
      <c r="I514">
        <v>2</v>
      </c>
      <c r="J514" t="str">
        <f t="shared" si="23"/>
        <v>USPS</v>
      </c>
      <c r="K514">
        <v>83.49</v>
      </c>
      <c r="L514" t="s">
        <v>34</v>
      </c>
      <c r="M514" t="s">
        <v>452</v>
      </c>
      <c r="N514" t="s">
        <v>100</v>
      </c>
      <c r="P514" t="s">
        <v>453</v>
      </c>
      <c r="Q514" t="s">
        <v>102</v>
      </c>
    </row>
    <row r="515" spans="2:17" customFormat="1" ht="15" hidden="1" x14ac:dyDescent="0.25">
      <c r="B515">
        <v>10502</v>
      </c>
      <c r="C515" t="s">
        <v>450</v>
      </c>
      <c r="D515" s="1">
        <v>35530</v>
      </c>
      <c r="E515" s="1" t="str">
        <f t="shared" si="21"/>
        <v>abr</v>
      </c>
      <c r="F515" s="1" t="str">
        <f t="shared" si="22"/>
        <v>1997</v>
      </c>
      <c r="G515" s="1">
        <v>35558</v>
      </c>
      <c r="H515" s="1">
        <v>35549</v>
      </c>
      <c r="I515">
        <v>1</v>
      </c>
      <c r="J515" t="str">
        <f t="shared" si="23"/>
        <v>UPS</v>
      </c>
      <c r="K515">
        <v>69.319999999999993</v>
      </c>
      <c r="L515" t="s">
        <v>34</v>
      </c>
      <c r="M515" t="s">
        <v>452</v>
      </c>
      <c r="N515" t="s">
        <v>100</v>
      </c>
      <c r="P515" t="s">
        <v>453</v>
      </c>
      <c r="Q515" t="s">
        <v>102</v>
      </c>
    </row>
    <row r="516" spans="2:17" customFormat="1" ht="15" hidden="1" x14ac:dyDescent="0.25">
      <c r="B516">
        <v>10995</v>
      </c>
      <c r="C516" t="s">
        <v>450</v>
      </c>
      <c r="D516" s="1">
        <v>35887</v>
      </c>
      <c r="E516" s="1" t="str">
        <f t="shared" si="21"/>
        <v>abr</v>
      </c>
      <c r="F516" s="1" t="str">
        <f t="shared" si="22"/>
        <v>1998</v>
      </c>
      <c r="G516" s="1">
        <v>35915</v>
      </c>
      <c r="H516" s="1">
        <v>35891</v>
      </c>
      <c r="I516">
        <v>3</v>
      </c>
      <c r="J516" t="str">
        <f t="shared" si="23"/>
        <v>DHL</v>
      </c>
      <c r="K516">
        <v>46</v>
      </c>
      <c r="L516" t="s">
        <v>34</v>
      </c>
      <c r="M516" t="s">
        <v>452</v>
      </c>
      <c r="N516" t="s">
        <v>100</v>
      </c>
      <c r="P516" t="s">
        <v>453</v>
      </c>
      <c r="Q516" t="s">
        <v>102</v>
      </c>
    </row>
    <row r="517" spans="2:17" customFormat="1" ht="15" hidden="1" x14ac:dyDescent="0.25">
      <c r="B517">
        <v>11073</v>
      </c>
      <c r="C517" t="s">
        <v>450</v>
      </c>
      <c r="D517" s="1">
        <v>35920</v>
      </c>
      <c r="E517" s="1" t="str">
        <f t="shared" si="21"/>
        <v>mai</v>
      </c>
      <c r="F517" s="1" t="str">
        <f t="shared" si="22"/>
        <v>1998</v>
      </c>
      <c r="G517" s="1">
        <v>35948</v>
      </c>
      <c r="H517" s="1"/>
      <c r="I517">
        <v>2</v>
      </c>
      <c r="J517" t="str">
        <f t="shared" si="23"/>
        <v>USPS</v>
      </c>
      <c r="K517">
        <v>24.95</v>
      </c>
      <c r="L517" t="s">
        <v>34</v>
      </c>
      <c r="M517" t="s">
        <v>452</v>
      </c>
      <c r="N517" t="s">
        <v>100</v>
      </c>
      <c r="P517" t="s">
        <v>453</v>
      </c>
      <c r="Q517" t="s">
        <v>102</v>
      </c>
    </row>
    <row r="518" spans="2:17" customFormat="1" ht="15" hidden="1" x14ac:dyDescent="0.25">
      <c r="B518">
        <v>10353</v>
      </c>
      <c r="C518" t="s">
        <v>455</v>
      </c>
      <c r="D518" s="1">
        <v>35382</v>
      </c>
      <c r="E518" s="1" t="str">
        <f t="shared" si="21"/>
        <v>nov</v>
      </c>
      <c r="F518" s="1" t="str">
        <f t="shared" si="22"/>
        <v>1996</v>
      </c>
      <c r="G518" s="1">
        <v>35410</v>
      </c>
      <c r="H518" s="1">
        <v>35394</v>
      </c>
      <c r="I518">
        <v>3</v>
      </c>
      <c r="J518" t="str">
        <f t="shared" si="23"/>
        <v>DHL</v>
      </c>
      <c r="K518">
        <v>360.63</v>
      </c>
      <c r="L518" t="s">
        <v>33</v>
      </c>
      <c r="M518" t="s">
        <v>457</v>
      </c>
      <c r="N518" t="s">
        <v>458</v>
      </c>
      <c r="P518" t="s">
        <v>459</v>
      </c>
      <c r="Q518" t="s">
        <v>218</v>
      </c>
    </row>
    <row r="519" spans="2:17" customFormat="1" ht="15" hidden="1" x14ac:dyDescent="0.25">
      <c r="B519">
        <v>10392</v>
      </c>
      <c r="C519" t="s">
        <v>455</v>
      </c>
      <c r="D519" s="1">
        <v>35423</v>
      </c>
      <c r="E519" s="1" t="str">
        <f t="shared" si="21"/>
        <v>dez</v>
      </c>
      <c r="F519" s="1" t="str">
        <f t="shared" si="22"/>
        <v>1996</v>
      </c>
      <c r="G519" s="1">
        <v>35451</v>
      </c>
      <c r="H519" s="1">
        <v>35431</v>
      </c>
      <c r="I519">
        <v>3</v>
      </c>
      <c r="J519" t="str">
        <f t="shared" si="23"/>
        <v>DHL</v>
      </c>
      <c r="K519">
        <v>122.46</v>
      </c>
      <c r="L519" t="s">
        <v>33</v>
      </c>
      <c r="M519" t="s">
        <v>457</v>
      </c>
      <c r="N519" t="s">
        <v>458</v>
      </c>
      <c r="P519" t="s">
        <v>459</v>
      </c>
      <c r="Q519" t="s">
        <v>218</v>
      </c>
    </row>
    <row r="520" spans="2:17" customFormat="1" ht="15" hidden="1" x14ac:dyDescent="0.25">
      <c r="B520">
        <v>10427</v>
      </c>
      <c r="C520" t="s">
        <v>455</v>
      </c>
      <c r="D520" s="1">
        <v>35457</v>
      </c>
      <c r="E520" s="1" t="str">
        <f t="shared" si="21"/>
        <v>jan</v>
      </c>
      <c r="F520" s="1" t="str">
        <f t="shared" si="22"/>
        <v>1997</v>
      </c>
      <c r="G520" s="1">
        <v>35485</v>
      </c>
      <c r="H520" s="1">
        <v>35492</v>
      </c>
      <c r="I520">
        <v>2</v>
      </c>
      <c r="J520" t="str">
        <f t="shared" si="23"/>
        <v>USPS</v>
      </c>
      <c r="K520">
        <v>31.29</v>
      </c>
      <c r="L520" t="s">
        <v>33</v>
      </c>
      <c r="M520" t="s">
        <v>457</v>
      </c>
      <c r="N520" t="s">
        <v>458</v>
      </c>
      <c r="P520" t="s">
        <v>459</v>
      </c>
      <c r="Q520" t="s">
        <v>218</v>
      </c>
    </row>
    <row r="521" spans="2:17" customFormat="1" ht="15" hidden="1" x14ac:dyDescent="0.25">
      <c r="B521">
        <v>10489</v>
      </c>
      <c r="C521" t="s">
        <v>455</v>
      </c>
      <c r="D521" s="1">
        <v>35517</v>
      </c>
      <c r="E521" s="1" t="str">
        <f t="shared" si="21"/>
        <v>mar</v>
      </c>
      <c r="F521" s="1" t="str">
        <f t="shared" si="22"/>
        <v>1997</v>
      </c>
      <c r="G521" s="1">
        <v>35545</v>
      </c>
      <c r="H521" s="1">
        <v>35529</v>
      </c>
      <c r="I521">
        <v>2</v>
      </c>
      <c r="J521" t="str">
        <f t="shared" si="23"/>
        <v>USPS</v>
      </c>
      <c r="K521">
        <v>5.29</v>
      </c>
      <c r="L521" t="s">
        <v>33</v>
      </c>
      <c r="M521" t="s">
        <v>457</v>
      </c>
      <c r="N521" t="s">
        <v>458</v>
      </c>
      <c r="P521" t="s">
        <v>459</v>
      </c>
      <c r="Q521" t="s">
        <v>218</v>
      </c>
    </row>
    <row r="522" spans="2:17" customFormat="1" ht="15" hidden="1" x14ac:dyDescent="0.25">
      <c r="B522">
        <v>10530</v>
      </c>
      <c r="C522" t="s">
        <v>455</v>
      </c>
      <c r="D522" s="1">
        <v>35558</v>
      </c>
      <c r="E522" s="1" t="str">
        <f t="shared" si="21"/>
        <v>mai</v>
      </c>
      <c r="F522" s="1" t="str">
        <f t="shared" si="22"/>
        <v>1997</v>
      </c>
      <c r="G522" s="1">
        <v>35586</v>
      </c>
      <c r="H522" s="1">
        <v>35562</v>
      </c>
      <c r="I522">
        <v>2</v>
      </c>
      <c r="J522" t="str">
        <f t="shared" si="23"/>
        <v>USPS</v>
      </c>
      <c r="K522">
        <v>339.22</v>
      </c>
      <c r="L522" t="s">
        <v>33</v>
      </c>
      <c r="M522" t="s">
        <v>457</v>
      </c>
      <c r="N522" t="s">
        <v>458</v>
      </c>
      <c r="P522" t="s">
        <v>459</v>
      </c>
      <c r="Q522" t="s">
        <v>218</v>
      </c>
    </row>
    <row r="523" spans="2:17" customFormat="1" ht="15" hidden="1" x14ac:dyDescent="0.25">
      <c r="B523">
        <v>10597</v>
      </c>
      <c r="C523" t="s">
        <v>455</v>
      </c>
      <c r="D523" s="1">
        <v>35622</v>
      </c>
      <c r="E523" s="1" t="str">
        <f t="shared" si="21"/>
        <v>jul</v>
      </c>
      <c r="F523" s="1" t="str">
        <f t="shared" si="22"/>
        <v>1997</v>
      </c>
      <c r="G523" s="1">
        <v>35650</v>
      </c>
      <c r="H523" s="1">
        <v>35629</v>
      </c>
      <c r="I523">
        <v>3</v>
      </c>
      <c r="J523" t="str">
        <f t="shared" si="23"/>
        <v>DHL</v>
      </c>
      <c r="K523">
        <v>35.119999999999997</v>
      </c>
      <c r="L523" t="s">
        <v>33</v>
      </c>
      <c r="M523" t="s">
        <v>457</v>
      </c>
      <c r="N523" t="s">
        <v>458</v>
      </c>
      <c r="P523" t="s">
        <v>459</v>
      </c>
      <c r="Q523" t="s">
        <v>218</v>
      </c>
    </row>
    <row r="524" spans="2:17" customFormat="1" ht="15" hidden="1" x14ac:dyDescent="0.25">
      <c r="B524">
        <v>10686</v>
      </c>
      <c r="C524" t="s">
        <v>455</v>
      </c>
      <c r="D524" s="1">
        <v>35703</v>
      </c>
      <c r="E524" s="1" t="str">
        <f t="shared" si="21"/>
        <v>set</v>
      </c>
      <c r="F524" s="1" t="str">
        <f t="shared" si="22"/>
        <v>1997</v>
      </c>
      <c r="G524" s="1">
        <v>35731</v>
      </c>
      <c r="H524" s="1">
        <v>35711</v>
      </c>
      <c r="I524">
        <v>1</v>
      </c>
      <c r="J524" t="str">
        <f t="shared" si="23"/>
        <v>UPS</v>
      </c>
      <c r="K524">
        <v>96.5</v>
      </c>
      <c r="L524" t="s">
        <v>33</v>
      </c>
      <c r="M524" t="s">
        <v>457</v>
      </c>
      <c r="N524" t="s">
        <v>458</v>
      </c>
      <c r="P524" t="s">
        <v>459</v>
      </c>
      <c r="Q524" t="s">
        <v>218</v>
      </c>
    </row>
    <row r="525" spans="2:17" customFormat="1" ht="15" hidden="1" x14ac:dyDescent="0.25">
      <c r="B525">
        <v>10747</v>
      </c>
      <c r="C525" t="s">
        <v>455</v>
      </c>
      <c r="D525" s="1">
        <v>35753</v>
      </c>
      <c r="E525" s="1" t="str">
        <f t="shared" si="21"/>
        <v>nov</v>
      </c>
      <c r="F525" s="1" t="str">
        <f t="shared" si="22"/>
        <v>1997</v>
      </c>
      <c r="G525" s="1">
        <v>35781</v>
      </c>
      <c r="H525" s="1">
        <v>35760</v>
      </c>
      <c r="I525">
        <v>1</v>
      </c>
      <c r="J525" t="str">
        <f t="shared" si="23"/>
        <v>UPS</v>
      </c>
      <c r="K525">
        <v>117.33</v>
      </c>
      <c r="L525" t="s">
        <v>33</v>
      </c>
      <c r="M525" t="s">
        <v>457</v>
      </c>
      <c r="N525" t="s">
        <v>458</v>
      </c>
      <c r="P525" t="s">
        <v>459</v>
      </c>
      <c r="Q525" t="s">
        <v>218</v>
      </c>
    </row>
    <row r="526" spans="2:17" customFormat="1" ht="15" hidden="1" x14ac:dyDescent="0.25">
      <c r="B526">
        <v>10844</v>
      </c>
      <c r="C526" t="s">
        <v>455</v>
      </c>
      <c r="D526" s="1">
        <v>35816</v>
      </c>
      <c r="E526" s="1" t="str">
        <f t="shared" ref="E526:E589" si="24">TEXT(D526,"mmm")</f>
        <v>jan</v>
      </c>
      <c r="F526" s="1" t="str">
        <f t="shared" ref="F526:F589" si="25">TEXT(D526,"aaa")</f>
        <v>1998</v>
      </c>
      <c r="G526" s="1">
        <v>35844</v>
      </c>
      <c r="H526" s="1">
        <v>35821</v>
      </c>
      <c r="I526">
        <v>2</v>
      </c>
      <c r="J526" t="str">
        <f t="shared" ref="J526:J589" si="26">CHOOSE(I526,"UPS","USPS","DHL")</f>
        <v>USPS</v>
      </c>
      <c r="K526">
        <v>25.22</v>
      </c>
      <c r="L526" t="s">
        <v>33</v>
      </c>
      <c r="M526" t="s">
        <v>457</v>
      </c>
      <c r="N526" t="s">
        <v>458</v>
      </c>
      <c r="P526" t="s">
        <v>459</v>
      </c>
      <c r="Q526" t="s">
        <v>218</v>
      </c>
    </row>
    <row r="527" spans="2:17" customFormat="1" ht="15" hidden="1" x14ac:dyDescent="0.25">
      <c r="B527">
        <v>11053</v>
      </c>
      <c r="C527" t="s">
        <v>455</v>
      </c>
      <c r="D527" s="1">
        <v>35912</v>
      </c>
      <c r="E527" s="1" t="str">
        <f t="shared" si="24"/>
        <v>abr</v>
      </c>
      <c r="F527" s="1" t="str">
        <f t="shared" si="25"/>
        <v>1998</v>
      </c>
      <c r="G527" s="1">
        <v>35940</v>
      </c>
      <c r="H527" s="1">
        <v>35914</v>
      </c>
      <c r="I527">
        <v>2</v>
      </c>
      <c r="J527" t="str">
        <f t="shared" si="26"/>
        <v>USPS</v>
      </c>
      <c r="K527">
        <v>53.05</v>
      </c>
      <c r="L527" t="s">
        <v>33</v>
      </c>
      <c r="M527" t="s">
        <v>457</v>
      </c>
      <c r="N527" t="s">
        <v>458</v>
      </c>
      <c r="P527" t="s">
        <v>459</v>
      </c>
      <c r="Q527" t="s">
        <v>218</v>
      </c>
    </row>
    <row r="528" spans="2:17" customFormat="1" ht="15" hidden="1" x14ac:dyDescent="0.25">
      <c r="B528">
        <v>10336</v>
      </c>
      <c r="C528" t="s">
        <v>461</v>
      </c>
      <c r="D528" s="1">
        <v>35361</v>
      </c>
      <c r="E528" s="1" t="str">
        <f t="shared" si="24"/>
        <v>out</v>
      </c>
      <c r="F528" s="1" t="str">
        <f t="shared" si="25"/>
        <v>1996</v>
      </c>
      <c r="G528" s="1">
        <v>35389</v>
      </c>
      <c r="H528" s="1">
        <v>35363</v>
      </c>
      <c r="I528">
        <v>2</v>
      </c>
      <c r="J528" t="str">
        <f t="shared" si="26"/>
        <v>USPS</v>
      </c>
      <c r="K528">
        <v>15.51</v>
      </c>
      <c r="L528" t="s">
        <v>31</v>
      </c>
      <c r="M528" t="s">
        <v>462</v>
      </c>
      <c r="N528" t="s">
        <v>263</v>
      </c>
      <c r="P528" t="s">
        <v>463</v>
      </c>
      <c r="Q528" t="s">
        <v>265</v>
      </c>
    </row>
    <row r="529" spans="2:17" customFormat="1" ht="15" hidden="1" x14ac:dyDescent="0.25">
      <c r="B529">
        <v>10397</v>
      </c>
      <c r="C529" t="s">
        <v>461</v>
      </c>
      <c r="D529" s="1">
        <v>35426</v>
      </c>
      <c r="E529" s="1" t="str">
        <f t="shared" si="24"/>
        <v>dez</v>
      </c>
      <c r="F529" s="1" t="str">
        <f t="shared" si="25"/>
        <v>1996</v>
      </c>
      <c r="G529" s="1">
        <v>35454</v>
      </c>
      <c r="H529" s="1">
        <v>35432</v>
      </c>
      <c r="I529">
        <v>1</v>
      </c>
      <c r="J529" t="str">
        <f t="shared" si="26"/>
        <v>UPS</v>
      </c>
      <c r="K529">
        <v>60.26</v>
      </c>
      <c r="L529" t="s">
        <v>31</v>
      </c>
      <c r="M529" t="s">
        <v>462</v>
      </c>
      <c r="N529" t="s">
        <v>263</v>
      </c>
      <c r="P529" t="s">
        <v>463</v>
      </c>
      <c r="Q529" t="s">
        <v>265</v>
      </c>
    </row>
    <row r="530" spans="2:17" customFormat="1" ht="15" hidden="1" x14ac:dyDescent="0.25">
      <c r="B530">
        <v>10433</v>
      </c>
      <c r="C530" t="s">
        <v>461</v>
      </c>
      <c r="D530" s="1">
        <v>35464</v>
      </c>
      <c r="E530" s="1" t="str">
        <f t="shared" si="24"/>
        <v>fev</v>
      </c>
      <c r="F530" s="1" t="str">
        <f t="shared" si="25"/>
        <v>1997</v>
      </c>
      <c r="G530" s="1">
        <v>35492</v>
      </c>
      <c r="H530" s="1">
        <v>35493</v>
      </c>
      <c r="I530">
        <v>3</v>
      </c>
      <c r="J530" t="str">
        <f t="shared" si="26"/>
        <v>DHL</v>
      </c>
      <c r="K530">
        <v>73.83</v>
      </c>
      <c r="L530" t="s">
        <v>31</v>
      </c>
      <c r="M530" t="s">
        <v>462</v>
      </c>
      <c r="N530" t="s">
        <v>263</v>
      </c>
      <c r="P530" t="s">
        <v>463</v>
      </c>
      <c r="Q530" t="s">
        <v>265</v>
      </c>
    </row>
    <row r="531" spans="2:17" customFormat="1" ht="15" hidden="1" x14ac:dyDescent="0.25">
      <c r="B531">
        <v>10477</v>
      </c>
      <c r="C531" t="s">
        <v>461</v>
      </c>
      <c r="D531" s="1">
        <v>35506</v>
      </c>
      <c r="E531" s="1" t="str">
        <f t="shared" si="24"/>
        <v>mar</v>
      </c>
      <c r="F531" s="1" t="str">
        <f t="shared" si="25"/>
        <v>1997</v>
      </c>
      <c r="G531" s="1">
        <v>35534</v>
      </c>
      <c r="H531" s="1">
        <v>35514</v>
      </c>
      <c r="I531">
        <v>2</v>
      </c>
      <c r="J531" t="str">
        <f t="shared" si="26"/>
        <v>USPS</v>
      </c>
      <c r="K531">
        <v>13.02</v>
      </c>
      <c r="L531" t="s">
        <v>31</v>
      </c>
      <c r="M531" t="s">
        <v>462</v>
      </c>
      <c r="N531" t="s">
        <v>263</v>
      </c>
      <c r="P531" t="s">
        <v>463</v>
      </c>
      <c r="Q531" t="s">
        <v>265</v>
      </c>
    </row>
    <row r="532" spans="2:17" customFormat="1" ht="15" hidden="1" x14ac:dyDescent="0.25">
      <c r="B532">
        <v>10808</v>
      </c>
      <c r="C532" t="s">
        <v>461</v>
      </c>
      <c r="D532" s="1">
        <v>35796</v>
      </c>
      <c r="E532" s="1" t="str">
        <f t="shared" si="24"/>
        <v>jan</v>
      </c>
      <c r="F532" s="1" t="str">
        <f t="shared" si="25"/>
        <v>1998</v>
      </c>
      <c r="G532" s="1">
        <v>35824</v>
      </c>
      <c r="H532" s="1">
        <v>35804</v>
      </c>
      <c r="I532">
        <v>3</v>
      </c>
      <c r="J532" t="str">
        <f t="shared" si="26"/>
        <v>DHL</v>
      </c>
      <c r="K532">
        <v>45.53</v>
      </c>
      <c r="L532" t="s">
        <v>32</v>
      </c>
      <c r="M532" t="s">
        <v>432</v>
      </c>
      <c r="N532" t="s">
        <v>433</v>
      </c>
      <c r="O532" t="s">
        <v>434</v>
      </c>
      <c r="P532" t="s">
        <v>435</v>
      </c>
      <c r="Q532" t="s">
        <v>290</v>
      </c>
    </row>
    <row r="533" spans="2:17" customFormat="1" ht="15" hidden="1" x14ac:dyDescent="0.25">
      <c r="B533">
        <v>11007</v>
      </c>
      <c r="C533" t="s">
        <v>461</v>
      </c>
      <c r="D533" s="1">
        <v>35893</v>
      </c>
      <c r="E533" s="1" t="str">
        <f t="shared" si="24"/>
        <v>abr</v>
      </c>
      <c r="F533" s="1" t="str">
        <f t="shared" si="25"/>
        <v>1998</v>
      </c>
      <c r="G533" s="1">
        <v>35921</v>
      </c>
      <c r="H533" s="1">
        <v>35898</v>
      </c>
      <c r="I533">
        <v>2</v>
      </c>
      <c r="J533" t="str">
        <f t="shared" si="26"/>
        <v>USPS</v>
      </c>
      <c r="K533">
        <v>202.24</v>
      </c>
      <c r="L533" t="s">
        <v>31</v>
      </c>
      <c r="M533" t="s">
        <v>462</v>
      </c>
      <c r="N533" t="s">
        <v>263</v>
      </c>
      <c r="P533" t="s">
        <v>463</v>
      </c>
      <c r="Q533" t="s">
        <v>265</v>
      </c>
    </row>
    <row r="534" spans="2:17" customFormat="1" ht="15" hidden="1" x14ac:dyDescent="0.25">
      <c r="B534">
        <v>10261</v>
      </c>
      <c r="C534" t="s">
        <v>465</v>
      </c>
      <c r="D534" s="1">
        <v>35265</v>
      </c>
      <c r="E534" s="1" t="str">
        <f t="shared" si="24"/>
        <v>jul</v>
      </c>
      <c r="F534" s="1" t="str">
        <f t="shared" si="25"/>
        <v>1996</v>
      </c>
      <c r="G534" s="1">
        <v>35293</v>
      </c>
      <c r="H534" s="1">
        <v>35276</v>
      </c>
      <c r="I534">
        <v>2</v>
      </c>
      <c r="J534" t="str">
        <f t="shared" si="26"/>
        <v>USPS</v>
      </c>
      <c r="K534">
        <v>3.05</v>
      </c>
      <c r="L534" t="s">
        <v>30</v>
      </c>
      <c r="M534" t="s">
        <v>467</v>
      </c>
      <c r="N534" t="s">
        <v>303</v>
      </c>
      <c r="O534" t="s">
        <v>304</v>
      </c>
      <c r="P534" t="s">
        <v>468</v>
      </c>
      <c r="Q534" t="s">
        <v>189</v>
      </c>
    </row>
    <row r="535" spans="2:17" customFormat="1" ht="15" hidden="1" x14ac:dyDescent="0.25">
      <c r="B535">
        <v>10291</v>
      </c>
      <c r="C535" t="s">
        <v>465</v>
      </c>
      <c r="D535" s="1">
        <v>35304</v>
      </c>
      <c r="E535" s="1" t="str">
        <f t="shared" si="24"/>
        <v>ago</v>
      </c>
      <c r="F535" s="1" t="str">
        <f t="shared" si="25"/>
        <v>1996</v>
      </c>
      <c r="G535" s="1">
        <v>35332</v>
      </c>
      <c r="H535" s="1">
        <v>35312</v>
      </c>
      <c r="I535">
        <v>2</v>
      </c>
      <c r="J535" t="str">
        <f t="shared" si="26"/>
        <v>USPS</v>
      </c>
      <c r="K535">
        <v>6.4</v>
      </c>
      <c r="L535" t="s">
        <v>30</v>
      </c>
      <c r="M535" t="s">
        <v>467</v>
      </c>
      <c r="N535" t="s">
        <v>303</v>
      </c>
      <c r="O535" t="s">
        <v>304</v>
      </c>
      <c r="P535" t="s">
        <v>468</v>
      </c>
      <c r="Q535" t="s">
        <v>189</v>
      </c>
    </row>
    <row r="536" spans="2:17" customFormat="1" ht="15" hidden="1" x14ac:dyDescent="0.25">
      <c r="B536">
        <v>10379</v>
      </c>
      <c r="C536" t="s">
        <v>465</v>
      </c>
      <c r="D536" s="1">
        <v>35410</v>
      </c>
      <c r="E536" s="1" t="str">
        <f t="shared" si="24"/>
        <v>dez</v>
      </c>
      <c r="F536" s="1" t="str">
        <f t="shared" si="25"/>
        <v>1996</v>
      </c>
      <c r="G536" s="1">
        <v>35438</v>
      </c>
      <c r="H536" s="1">
        <v>35412</v>
      </c>
      <c r="I536">
        <v>1</v>
      </c>
      <c r="J536" t="str">
        <f t="shared" si="26"/>
        <v>UPS</v>
      </c>
      <c r="K536">
        <v>45.03</v>
      </c>
      <c r="L536" t="s">
        <v>30</v>
      </c>
      <c r="M536" t="s">
        <v>467</v>
      </c>
      <c r="N536" t="s">
        <v>303</v>
      </c>
      <c r="O536" t="s">
        <v>304</v>
      </c>
      <c r="P536" t="s">
        <v>468</v>
      </c>
      <c r="Q536" t="s">
        <v>189</v>
      </c>
    </row>
    <row r="537" spans="2:17" customFormat="1" ht="15" hidden="1" x14ac:dyDescent="0.25">
      <c r="B537">
        <v>10421</v>
      </c>
      <c r="C537" t="s">
        <v>465</v>
      </c>
      <c r="D537" s="1">
        <v>35451</v>
      </c>
      <c r="E537" s="1" t="str">
        <f t="shared" si="24"/>
        <v>jan</v>
      </c>
      <c r="F537" s="1" t="str">
        <f t="shared" si="25"/>
        <v>1997</v>
      </c>
      <c r="G537" s="1">
        <v>35493</v>
      </c>
      <c r="H537" s="1">
        <v>35457</v>
      </c>
      <c r="I537">
        <v>1</v>
      </c>
      <c r="J537" t="str">
        <f t="shared" si="26"/>
        <v>UPS</v>
      </c>
      <c r="K537">
        <v>99.23</v>
      </c>
      <c r="L537" t="s">
        <v>30</v>
      </c>
      <c r="M537" t="s">
        <v>467</v>
      </c>
      <c r="N537" t="s">
        <v>303</v>
      </c>
      <c r="O537" t="s">
        <v>304</v>
      </c>
      <c r="P537" t="s">
        <v>468</v>
      </c>
      <c r="Q537" t="s">
        <v>189</v>
      </c>
    </row>
    <row r="538" spans="2:17" customFormat="1" ht="15" hidden="1" x14ac:dyDescent="0.25">
      <c r="B538">
        <v>10587</v>
      </c>
      <c r="C538" t="s">
        <v>465</v>
      </c>
      <c r="D538" s="1">
        <v>35613</v>
      </c>
      <c r="E538" s="1" t="str">
        <f t="shared" si="24"/>
        <v>jul</v>
      </c>
      <c r="F538" s="1" t="str">
        <f t="shared" si="25"/>
        <v>1997</v>
      </c>
      <c r="G538" s="1">
        <v>35641</v>
      </c>
      <c r="H538" s="1">
        <v>35620</v>
      </c>
      <c r="I538">
        <v>1</v>
      </c>
      <c r="J538" t="str">
        <f t="shared" si="26"/>
        <v>UPS</v>
      </c>
      <c r="K538">
        <v>62.52</v>
      </c>
      <c r="L538" t="s">
        <v>30</v>
      </c>
      <c r="M538" t="s">
        <v>467</v>
      </c>
      <c r="N538" t="s">
        <v>303</v>
      </c>
      <c r="O538" t="s">
        <v>304</v>
      </c>
      <c r="P538" t="s">
        <v>468</v>
      </c>
      <c r="Q538" t="s">
        <v>189</v>
      </c>
    </row>
    <row r="539" spans="2:17" customFormat="1" ht="15" hidden="1" x14ac:dyDescent="0.25">
      <c r="B539">
        <v>10647</v>
      </c>
      <c r="C539" t="s">
        <v>465</v>
      </c>
      <c r="D539" s="1">
        <v>35669</v>
      </c>
      <c r="E539" s="1" t="str">
        <f t="shared" si="24"/>
        <v>ago</v>
      </c>
      <c r="F539" s="1" t="str">
        <f t="shared" si="25"/>
        <v>1997</v>
      </c>
      <c r="G539" s="1">
        <v>35683</v>
      </c>
      <c r="H539" s="1">
        <v>35676</v>
      </c>
      <c r="I539">
        <v>2</v>
      </c>
      <c r="J539" t="str">
        <f t="shared" si="26"/>
        <v>USPS</v>
      </c>
      <c r="K539">
        <v>45.54</v>
      </c>
      <c r="L539" t="s">
        <v>30</v>
      </c>
      <c r="M539" t="s">
        <v>467</v>
      </c>
      <c r="N539" t="s">
        <v>303</v>
      </c>
      <c r="O539" t="s">
        <v>304</v>
      </c>
      <c r="P539" t="s">
        <v>468</v>
      </c>
      <c r="Q539" t="s">
        <v>189</v>
      </c>
    </row>
    <row r="540" spans="2:17" customFormat="1" ht="15" hidden="1" x14ac:dyDescent="0.25">
      <c r="B540">
        <v>10720</v>
      </c>
      <c r="C540" t="s">
        <v>465</v>
      </c>
      <c r="D540" s="1">
        <v>35731</v>
      </c>
      <c r="E540" s="1" t="str">
        <f t="shared" si="24"/>
        <v>out</v>
      </c>
      <c r="F540" s="1" t="str">
        <f t="shared" si="25"/>
        <v>1997</v>
      </c>
      <c r="G540" s="1">
        <v>35745</v>
      </c>
      <c r="H540" s="1">
        <v>35739</v>
      </c>
      <c r="I540">
        <v>2</v>
      </c>
      <c r="J540" t="str">
        <f t="shared" si="26"/>
        <v>USPS</v>
      </c>
      <c r="K540">
        <v>9.5299999999999994</v>
      </c>
      <c r="L540" t="s">
        <v>30</v>
      </c>
      <c r="M540" t="s">
        <v>467</v>
      </c>
      <c r="N540" t="s">
        <v>303</v>
      </c>
      <c r="O540" t="s">
        <v>304</v>
      </c>
      <c r="P540" t="s">
        <v>468</v>
      </c>
      <c r="Q540" t="s">
        <v>189</v>
      </c>
    </row>
    <row r="541" spans="2:17" customFormat="1" ht="15" hidden="1" x14ac:dyDescent="0.25">
      <c r="B541">
        <v>10794</v>
      </c>
      <c r="C541" t="s">
        <v>465</v>
      </c>
      <c r="D541" s="1">
        <v>35788</v>
      </c>
      <c r="E541" s="1" t="str">
        <f t="shared" si="24"/>
        <v>dez</v>
      </c>
      <c r="F541" s="1" t="str">
        <f t="shared" si="25"/>
        <v>1997</v>
      </c>
      <c r="G541" s="1">
        <v>35816</v>
      </c>
      <c r="H541" s="1">
        <v>35797</v>
      </c>
      <c r="I541">
        <v>1</v>
      </c>
      <c r="J541" t="str">
        <f t="shared" si="26"/>
        <v>UPS</v>
      </c>
      <c r="K541">
        <v>21.49</v>
      </c>
      <c r="L541" t="s">
        <v>30</v>
      </c>
      <c r="M541" t="s">
        <v>467</v>
      </c>
      <c r="N541" t="s">
        <v>303</v>
      </c>
      <c r="O541" t="s">
        <v>304</v>
      </c>
      <c r="P541" t="s">
        <v>468</v>
      </c>
      <c r="Q541" t="s">
        <v>189</v>
      </c>
    </row>
    <row r="542" spans="2:17" customFormat="1" ht="15" hidden="1" x14ac:dyDescent="0.25">
      <c r="B542">
        <v>10989</v>
      </c>
      <c r="C542" t="s">
        <v>465</v>
      </c>
      <c r="D542" s="1">
        <v>35885</v>
      </c>
      <c r="E542" s="1" t="str">
        <f t="shared" si="24"/>
        <v>mar</v>
      </c>
      <c r="F542" s="1" t="str">
        <f t="shared" si="25"/>
        <v>1998</v>
      </c>
      <c r="G542" s="1">
        <v>35913</v>
      </c>
      <c r="H542" s="1">
        <v>35887</v>
      </c>
      <c r="I542">
        <v>1</v>
      </c>
      <c r="J542" t="str">
        <f t="shared" si="26"/>
        <v>UPS</v>
      </c>
      <c r="K542">
        <v>34.76</v>
      </c>
      <c r="L542" t="s">
        <v>30</v>
      </c>
      <c r="M542" t="s">
        <v>467</v>
      </c>
      <c r="N542" t="s">
        <v>303</v>
      </c>
      <c r="O542" t="s">
        <v>304</v>
      </c>
      <c r="P542" t="s">
        <v>468</v>
      </c>
      <c r="Q542" t="s">
        <v>189</v>
      </c>
    </row>
    <row r="543" spans="2:17" customFormat="1" ht="15" hidden="1" x14ac:dyDescent="0.25">
      <c r="B543">
        <v>10372</v>
      </c>
      <c r="C543" t="s">
        <v>470</v>
      </c>
      <c r="D543" s="1">
        <v>35403</v>
      </c>
      <c r="E543" s="1" t="str">
        <f t="shared" si="24"/>
        <v>dez</v>
      </c>
      <c r="F543" s="1" t="str">
        <f t="shared" si="25"/>
        <v>1996</v>
      </c>
      <c r="G543" s="1">
        <v>35431</v>
      </c>
      <c r="H543" s="1">
        <v>35408</v>
      </c>
      <c r="I543">
        <v>2</v>
      </c>
      <c r="J543" t="str">
        <f t="shared" si="26"/>
        <v>USPS</v>
      </c>
      <c r="K543">
        <v>890.78</v>
      </c>
      <c r="L543" t="s">
        <v>29</v>
      </c>
      <c r="M543" t="s">
        <v>472</v>
      </c>
      <c r="N543" t="s">
        <v>186</v>
      </c>
      <c r="O543" t="s">
        <v>187</v>
      </c>
      <c r="P543" t="s">
        <v>473</v>
      </c>
      <c r="Q543" t="s">
        <v>189</v>
      </c>
    </row>
    <row r="544" spans="2:17" customFormat="1" ht="15" hidden="1" x14ac:dyDescent="0.25">
      <c r="B544">
        <v>10406</v>
      </c>
      <c r="C544" t="s">
        <v>470</v>
      </c>
      <c r="D544" s="1">
        <v>35437</v>
      </c>
      <c r="E544" s="1" t="str">
        <f t="shared" si="24"/>
        <v>jan</v>
      </c>
      <c r="F544" s="1" t="str">
        <f t="shared" si="25"/>
        <v>1997</v>
      </c>
      <c r="G544" s="1">
        <v>35479</v>
      </c>
      <c r="H544" s="1">
        <v>35443</v>
      </c>
      <c r="I544">
        <v>1</v>
      </c>
      <c r="J544" t="str">
        <f t="shared" si="26"/>
        <v>UPS</v>
      </c>
      <c r="K544">
        <v>108.04</v>
      </c>
      <c r="L544" t="s">
        <v>29</v>
      </c>
      <c r="M544" t="s">
        <v>472</v>
      </c>
      <c r="N544" t="s">
        <v>186</v>
      </c>
      <c r="O544" t="s">
        <v>187</v>
      </c>
      <c r="P544" t="s">
        <v>473</v>
      </c>
      <c r="Q544" t="s">
        <v>189</v>
      </c>
    </row>
    <row r="545" spans="2:17" customFormat="1" ht="15" hidden="1" x14ac:dyDescent="0.25">
      <c r="B545">
        <v>10487</v>
      </c>
      <c r="C545" t="s">
        <v>470</v>
      </c>
      <c r="D545" s="1">
        <v>35515</v>
      </c>
      <c r="E545" s="1" t="str">
        <f t="shared" si="24"/>
        <v>mar</v>
      </c>
      <c r="F545" s="1" t="str">
        <f t="shared" si="25"/>
        <v>1997</v>
      </c>
      <c r="G545" s="1">
        <v>35543</v>
      </c>
      <c r="H545" s="1">
        <v>35517</v>
      </c>
      <c r="I545">
        <v>2</v>
      </c>
      <c r="J545" t="str">
        <f t="shared" si="26"/>
        <v>USPS</v>
      </c>
      <c r="K545">
        <v>71.069999999999993</v>
      </c>
      <c r="L545" t="s">
        <v>29</v>
      </c>
      <c r="M545" t="s">
        <v>472</v>
      </c>
      <c r="N545" t="s">
        <v>186</v>
      </c>
      <c r="O545" t="s">
        <v>187</v>
      </c>
      <c r="P545" t="s">
        <v>473</v>
      </c>
      <c r="Q545" t="s">
        <v>189</v>
      </c>
    </row>
    <row r="546" spans="2:17" customFormat="1" ht="15" hidden="1" x14ac:dyDescent="0.25">
      <c r="B546">
        <v>10637</v>
      </c>
      <c r="C546" t="s">
        <v>470</v>
      </c>
      <c r="D546" s="1">
        <v>35661</v>
      </c>
      <c r="E546" s="1" t="str">
        <f t="shared" si="24"/>
        <v>ago</v>
      </c>
      <c r="F546" s="1" t="str">
        <f t="shared" si="25"/>
        <v>1997</v>
      </c>
      <c r="G546" s="1">
        <v>35689</v>
      </c>
      <c r="H546" s="1">
        <v>35668</v>
      </c>
      <c r="I546">
        <v>1</v>
      </c>
      <c r="J546" t="str">
        <f t="shared" si="26"/>
        <v>UPS</v>
      </c>
      <c r="K546">
        <v>201.29</v>
      </c>
      <c r="L546" t="s">
        <v>29</v>
      </c>
      <c r="M546" t="s">
        <v>472</v>
      </c>
      <c r="N546" t="s">
        <v>186</v>
      </c>
      <c r="O546" t="s">
        <v>187</v>
      </c>
      <c r="P546" t="s">
        <v>473</v>
      </c>
      <c r="Q546" t="s">
        <v>189</v>
      </c>
    </row>
    <row r="547" spans="2:17" customFormat="1" ht="15" hidden="1" x14ac:dyDescent="0.25">
      <c r="B547">
        <v>10659</v>
      </c>
      <c r="C547" t="s">
        <v>470</v>
      </c>
      <c r="D547" s="1">
        <v>35678</v>
      </c>
      <c r="E547" s="1" t="str">
        <f t="shared" si="24"/>
        <v>set</v>
      </c>
      <c r="F547" s="1" t="str">
        <f t="shared" si="25"/>
        <v>1997</v>
      </c>
      <c r="G547" s="1">
        <v>35706</v>
      </c>
      <c r="H547" s="1">
        <v>35683</v>
      </c>
      <c r="I547">
        <v>2</v>
      </c>
      <c r="J547" t="str">
        <f t="shared" si="26"/>
        <v>USPS</v>
      </c>
      <c r="K547">
        <v>105.81</v>
      </c>
      <c r="L547" t="s">
        <v>29</v>
      </c>
      <c r="M547" t="s">
        <v>472</v>
      </c>
      <c r="N547" t="s">
        <v>186</v>
      </c>
      <c r="O547" t="s">
        <v>187</v>
      </c>
      <c r="P547" t="s">
        <v>473</v>
      </c>
      <c r="Q547" t="s">
        <v>189</v>
      </c>
    </row>
    <row r="548" spans="2:17" customFormat="1" ht="15" hidden="1" x14ac:dyDescent="0.25">
      <c r="B548">
        <v>10704</v>
      </c>
      <c r="C548" t="s">
        <v>470</v>
      </c>
      <c r="D548" s="1">
        <v>35717</v>
      </c>
      <c r="E548" s="1" t="str">
        <f t="shared" si="24"/>
        <v>out</v>
      </c>
      <c r="F548" s="1" t="str">
        <f t="shared" si="25"/>
        <v>1997</v>
      </c>
      <c r="G548" s="1">
        <v>35745</v>
      </c>
      <c r="H548" s="1">
        <v>35741</v>
      </c>
      <c r="I548">
        <v>1</v>
      </c>
      <c r="J548" t="str">
        <f t="shared" si="26"/>
        <v>UPS</v>
      </c>
      <c r="K548">
        <v>4.78</v>
      </c>
      <c r="L548" t="s">
        <v>29</v>
      </c>
      <c r="M548" t="s">
        <v>472</v>
      </c>
      <c r="N548" t="s">
        <v>186</v>
      </c>
      <c r="O548" t="s">
        <v>187</v>
      </c>
      <c r="P548" t="s">
        <v>473</v>
      </c>
      <c r="Q548" t="s">
        <v>189</v>
      </c>
    </row>
    <row r="549" spans="2:17" customFormat="1" ht="15" hidden="1" x14ac:dyDescent="0.25">
      <c r="B549">
        <v>10728</v>
      </c>
      <c r="C549" t="s">
        <v>470</v>
      </c>
      <c r="D549" s="1">
        <v>35738</v>
      </c>
      <c r="E549" s="1" t="str">
        <f t="shared" si="24"/>
        <v>nov</v>
      </c>
      <c r="F549" s="1" t="str">
        <f t="shared" si="25"/>
        <v>1997</v>
      </c>
      <c r="G549" s="1">
        <v>35766</v>
      </c>
      <c r="H549" s="1">
        <v>35745</v>
      </c>
      <c r="I549">
        <v>2</v>
      </c>
      <c r="J549" t="str">
        <f t="shared" si="26"/>
        <v>USPS</v>
      </c>
      <c r="K549">
        <v>58.33</v>
      </c>
      <c r="L549" t="s">
        <v>29</v>
      </c>
      <c r="M549" t="s">
        <v>472</v>
      </c>
      <c r="N549" t="s">
        <v>186</v>
      </c>
      <c r="O549" t="s">
        <v>187</v>
      </c>
      <c r="P549" t="s">
        <v>473</v>
      </c>
      <c r="Q549" t="s">
        <v>189</v>
      </c>
    </row>
    <row r="550" spans="2:17" customFormat="1" ht="15" hidden="1" x14ac:dyDescent="0.25">
      <c r="B550">
        <v>10786</v>
      </c>
      <c r="C550" t="s">
        <v>470</v>
      </c>
      <c r="D550" s="1">
        <v>35783</v>
      </c>
      <c r="E550" s="1" t="str">
        <f t="shared" si="24"/>
        <v>dez</v>
      </c>
      <c r="F550" s="1" t="str">
        <f t="shared" si="25"/>
        <v>1997</v>
      </c>
      <c r="G550" s="1">
        <v>35811</v>
      </c>
      <c r="H550" s="1">
        <v>35787</v>
      </c>
      <c r="I550">
        <v>1</v>
      </c>
      <c r="J550" t="str">
        <f t="shared" si="26"/>
        <v>UPS</v>
      </c>
      <c r="K550">
        <v>110.87</v>
      </c>
      <c r="L550" t="s">
        <v>29</v>
      </c>
      <c r="M550" t="s">
        <v>472</v>
      </c>
      <c r="N550" t="s">
        <v>186</v>
      </c>
      <c r="O550" t="s">
        <v>187</v>
      </c>
      <c r="P550" t="s">
        <v>473</v>
      </c>
      <c r="Q550" t="s">
        <v>189</v>
      </c>
    </row>
    <row r="551" spans="2:17" customFormat="1" ht="15" hidden="1" x14ac:dyDescent="0.25">
      <c r="B551">
        <v>10868</v>
      </c>
      <c r="C551" t="s">
        <v>470</v>
      </c>
      <c r="D551" s="1">
        <v>35830</v>
      </c>
      <c r="E551" s="1" t="str">
        <f t="shared" si="24"/>
        <v>fev</v>
      </c>
      <c r="F551" s="1" t="str">
        <f t="shared" si="25"/>
        <v>1998</v>
      </c>
      <c r="G551" s="1">
        <v>35858</v>
      </c>
      <c r="H551" s="1">
        <v>35849</v>
      </c>
      <c r="I551">
        <v>2</v>
      </c>
      <c r="J551" t="str">
        <f t="shared" si="26"/>
        <v>USPS</v>
      </c>
      <c r="K551">
        <v>191.27</v>
      </c>
      <c r="L551" t="s">
        <v>29</v>
      </c>
      <c r="M551" t="s">
        <v>472</v>
      </c>
      <c r="N551" t="s">
        <v>186</v>
      </c>
      <c r="O551" t="s">
        <v>187</v>
      </c>
      <c r="P551" t="s">
        <v>473</v>
      </c>
      <c r="Q551" t="s">
        <v>189</v>
      </c>
    </row>
    <row r="552" spans="2:17" customFormat="1" ht="15" hidden="1" x14ac:dyDescent="0.25">
      <c r="B552">
        <v>10913</v>
      </c>
      <c r="C552" t="s">
        <v>470</v>
      </c>
      <c r="D552" s="1">
        <v>35852</v>
      </c>
      <c r="E552" s="1" t="str">
        <f t="shared" si="24"/>
        <v>fev</v>
      </c>
      <c r="F552" s="1" t="str">
        <f t="shared" si="25"/>
        <v>1998</v>
      </c>
      <c r="G552" s="1">
        <v>35880</v>
      </c>
      <c r="H552" s="1">
        <v>35858</v>
      </c>
      <c r="I552">
        <v>1</v>
      </c>
      <c r="J552" t="str">
        <f t="shared" si="26"/>
        <v>UPS</v>
      </c>
      <c r="K552">
        <v>33.049999999999997</v>
      </c>
      <c r="L552" t="s">
        <v>29</v>
      </c>
      <c r="M552" t="s">
        <v>472</v>
      </c>
      <c r="N552" t="s">
        <v>186</v>
      </c>
      <c r="O552" t="s">
        <v>187</v>
      </c>
      <c r="P552" t="s">
        <v>473</v>
      </c>
      <c r="Q552" t="s">
        <v>189</v>
      </c>
    </row>
    <row r="553" spans="2:17" customFormat="1" ht="15" hidden="1" x14ac:dyDescent="0.25">
      <c r="B553">
        <v>10914</v>
      </c>
      <c r="C553" t="s">
        <v>470</v>
      </c>
      <c r="D553" s="1">
        <v>35853</v>
      </c>
      <c r="E553" s="1" t="str">
        <f t="shared" si="24"/>
        <v>fev</v>
      </c>
      <c r="F553" s="1" t="str">
        <f t="shared" si="25"/>
        <v>1998</v>
      </c>
      <c r="G553" s="1">
        <v>35881</v>
      </c>
      <c r="H553" s="1">
        <v>35856</v>
      </c>
      <c r="I553">
        <v>1</v>
      </c>
      <c r="J553" t="str">
        <f t="shared" si="26"/>
        <v>UPS</v>
      </c>
      <c r="K553">
        <v>21.19</v>
      </c>
      <c r="L553" t="s">
        <v>29</v>
      </c>
      <c r="M553" t="s">
        <v>472</v>
      </c>
      <c r="N553" t="s">
        <v>186</v>
      </c>
      <c r="O553" t="s">
        <v>187</v>
      </c>
      <c r="P553" t="s">
        <v>473</v>
      </c>
      <c r="Q553" t="s">
        <v>189</v>
      </c>
    </row>
    <row r="554" spans="2:17" customFormat="1" ht="15" hidden="1" x14ac:dyDescent="0.25">
      <c r="B554">
        <v>10961</v>
      </c>
      <c r="C554" t="s">
        <v>470</v>
      </c>
      <c r="D554" s="1">
        <v>35873</v>
      </c>
      <c r="E554" s="1" t="str">
        <f t="shared" si="24"/>
        <v>mar</v>
      </c>
      <c r="F554" s="1" t="str">
        <f t="shared" si="25"/>
        <v>1998</v>
      </c>
      <c r="G554" s="1">
        <v>35901</v>
      </c>
      <c r="H554" s="1">
        <v>35884</v>
      </c>
      <c r="I554">
        <v>1</v>
      </c>
      <c r="J554" t="str">
        <f t="shared" si="26"/>
        <v>UPS</v>
      </c>
      <c r="K554">
        <v>104.47</v>
      </c>
      <c r="L554" t="s">
        <v>29</v>
      </c>
      <c r="M554" t="s">
        <v>472</v>
      </c>
      <c r="N554" t="s">
        <v>186</v>
      </c>
      <c r="O554" t="s">
        <v>187</v>
      </c>
      <c r="P554" t="s">
        <v>473</v>
      </c>
      <c r="Q554" t="s">
        <v>189</v>
      </c>
    </row>
    <row r="555" spans="2:17" customFormat="1" ht="15" hidden="1" x14ac:dyDescent="0.25">
      <c r="B555">
        <v>11068</v>
      </c>
      <c r="C555" t="s">
        <v>470</v>
      </c>
      <c r="D555" s="1">
        <v>35919</v>
      </c>
      <c r="E555" s="1" t="str">
        <f t="shared" si="24"/>
        <v>mai</v>
      </c>
      <c r="F555" s="1" t="str">
        <f t="shared" si="25"/>
        <v>1998</v>
      </c>
      <c r="G555" s="1">
        <v>35947</v>
      </c>
      <c r="H555" s="1"/>
      <c r="I555">
        <v>2</v>
      </c>
      <c r="J555" t="str">
        <f t="shared" si="26"/>
        <v>USPS</v>
      </c>
      <c r="K555">
        <v>81.75</v>
      </c>
      <c r="L555" t="s">
        <v>29</v>
      </c>
      <c r="M555" t="s">
        <v>472</v>
      </c>
      <c r="N555" t="s">
        <v>186</v>
      </c>
      <c r="O555" t="s">
        <v>187</v>
      </c>
      <c r="P555" t="s">
        <v>473</v>
      </c>
      <c r="Q555" t="s">
        <v>189</v>
      </c>
    </row>
    <row r="556" spans="2:17" customFormat="1" ht="15" hidden="1" x14ac:dyDescent="0.25">
      <c r="B556">
        <v>10273</v>
      </c>
      <c r="C556" t="s">
        <v>475</v>
      </c>
      <c r="D556" s="1">
        <v>35282</v>
      </c>
      <c r="E556" s="1" t="str">
        <f t="shared" si="24"/>
        <v>ago</v>
      </c>
      <c r="F556" s="1" t="str">
        <f t="shared" si="25"/>
        <v>1996</v>
      </c>
      <c r="G556" s="1">
        <v>35310</v>
      </c>
      <c r="H556" s="1">
        <v>35289</v>
      </c>
      <c r="I556">
        <v>3</v>
      </c>
      <c r="J556" t="str">
        <f t="shared" si="26"/>
        <v>DHL</v>
      </c>
      <c r="K556">
        <v>76.069999999999993</v>
      </c>
      <c r="L556" t="s">
        <v>28</v>
      </c>
      <c r="M556" t="s">
        <v>477</v>
      </c>
      <c r="N556" t="s">
        <v>478</v>
      </c>
      <c r="P556" t="s">
        <v>479</v>
      </c>
      <c r="Q556" t="s">
        <v>94</v>
      </c>
    </row>
    <row r="557" spans="2:17" customFormat="1" ht="15" hidden="1" x14ac:dyDescent="0.25">
      <c r="B557">
        <v>10285</v>
      </c>
      <c r="C557" t="s">
        <v>475</v>
      </c>
      <c r="D557" s="1">
        <v>35297</v>
      </c>
      <c r="E557" s="1" t="str">
        <f t="shared" si="24"/>
        <v>ago</v>
      </c>
      <c r="F557" s="1" t="str">
        <f t="shared" si="25"/>
        <v>1996</v>
      </c>
      <c r="G557" s="1">
        <v>35325</v>
      </c>
      <c r="H557" s="1">
        <v>35303</v>
      </c>
      <c r="I557">
        <v>2</v>
      </c>
      <c r="J557" t="str">
        <f t="shared" si="26"/>
        <v>USPS</v>
      </c>
      <c r="K557">
        <v>76.83</v>
      </c>
      <c r="L557" t="s">
        <v>28</v>
      </c>
      <c r="M557" t="s">
        <v>477</v>
      </c>
      <c r="N557" t="s">
        <v>478</v>
      </c>
      <c r="P557" t="s">
        <v>479</v>
      </c>
      <c r="Q557" t="s">
        <v>94</v>
      </c>
    </row>
    <row r="558" spans="2:17" customFormat="1" ht="15" hidden="1" x14ac:dyDescent="0.25">
      <c r="B558">
        <v>10286</v>
      </c>
      <c r="C558" t="s">
        <v>475</v>
      </c>
      <c r="D558" s="1">
        <v>35298</v>
      </c>
      <c r="E558" s="1" t="str">
        <f t="shared" si="24"/>
        <v>ago</v>
      </c>
      <c r="F558" s="1" t="str">
        <f t="shared" si="25"/>
        <v>1996</v>
      </c>
      <c r="G558" s="1">
        <v>35326</v>
      </c>
      <c r="H558" s="1">
        <v>35307</v>
      </c>
      <c r="I558">
        <v>3</v>
      </c>
      <c r="J558" t="str">
        <f t="shared" si="26"/>
        <v>DHL</v>
      </c>
      <c r="K558">
        <v>229.24</v>
      </c>
      <c r="L558" t="s">
        <v>28</v>
      </c>
      <c r="M558" t="s">
        <v>477</v>
      </c>
      <c r="N558" t="s">
        <v>478</v>
      </c>
      <c r="P558" t="s">
        <v>479</v>
      </c>
      <c r="Q558" t="s">
        <v>94</v>
      </c>
    </row>
    <row r="559" spans="2:17" customFormat="1" ht="15" hidden="1" x14ac:dyDescent="0.25">
      <c r="B559">
        <v>10313</v>
      </c>
      <c r="C559" t="s">
        <v>475</v>
      </c>
      <c r="D559" s="1">
        <v>35332</v>
      </c>
      <c r="E559" s="1" t="str">
        <f t="shared" si="24"/>
        <v>set</v>
      </c>
      <c r="F559" s="1" t="str">
        <f t="shared" si="25"/>
        <v>1996</v>
      </c>
      <c r="G559" s="1">
        <v>35360</v>
      </c>
      <c r="H559" s="1">
        <v>35342</v>
      </c>
      <c r="I559">
        <v>2</v>
      </c>
      <c r="J559" t="str">
        <f t="shared" si="26"/>
        <v>USPS</v>
      </c>
      <c r="K559">
        <v>1.96</v>
      </c>
      <c r="L559" t="s">
        <v>28</v>
      </c>
      <c r="M559" t="s">
        <v>477</v>
      </c>
      <c r="N559" t="s">
        <v>478</v>
      </c>
      <c r="P559" t="s">
        <v>479</v>
      </c>
      <c r="Q559" t="s">
        <v>94</v>
      </c>
    </row>
    <row r="560" spans="2:17" customFormat="1" ht="15" hidden="1" x14ac:dyDescent="0.25">
      <c r="B560">
        <v>10345</v>
      </c>
      <c r="C560" t="s">
        <v>475</v>
      </c>
      <c r="D560" s="1">
        <v>35373</v>
      </c>
      <c r="E560" s="1" t="str">
        <f t="shared" si="24"/>
        <v>nov</v>
      </c>
      <c r="F560" s="1" t="str">
        <f t="shared" si="25"/>
        <v>1996</v>
      </c>
      <c r="G560" s="1">
        <v>35401</v>
      </c>
      <c r="H560" s="1">
        <v>35380</v>
      </c>
      <c r="I560">
        <v>2</v>
      </c>
      <c r="J560" t="str">
        <f t="shared" si="26"/>
        <v>USPS</v>
      </c>
      <c r="K560">
        <v>249.06</v>
      </c>
      <c r="L560" t="s">
        <v>28</v>
      </c>
      <c r="M560" t="s">
        <v>477</v>
      </c>
      <c r="N560" t="s">
        <v>478</v>
      </c>
      <c r="P560" t="s">
        <v>479</v>
      </c>
      <c r="Q560" t="s">
        <v>94</v>
      </c>
    </row>
    <row r="561" spans="2:17" customFormat="1" ht="15" hidden="1" x14ac:dyDescent="0.25">
      <c r="B561">
        <v>10361</v>
      </c>
      <c r="C561" t="s">
        <v>475</v>
      </c>
      <c r="D561" s="1">
        <v>35391</v>
      </c>
      <c r="E561" s="1" t="str">
        <f t="shared" si="24"/>
        <v>nov</v>
      </c>
      <c r="F561" s="1" t="str">
        <f t="shared" si="25"/>
        <v>1996</v>
      </c>
      <c r="G561" s="1">
        <v>35419</v>
      </c>
      <c r="H561" s="1">
        <v>35402</v>
      </c>
      <c r="I561">
        <v>2</v>
      </c>
      <c r="J561" t="str">
        <f t="shared" si="26"/>
        <v>USPS</v>
      </c>
      <c r="K561">
        <v>183.17</v>
      </c>
      <c r="L561" t="s">
        <v>28</v>
      </c>
      <c r="M561" t="s">
        <v>477</v>
      </c>
      <c r="N561" t="s">
        <v>478</v>
      </c>
      <c r="P561" t="s">
        <v>479</v>
      </c>
      <c r="Q561" t="s">
        <v>94</v>
      </c>
    </row>
    <row r="562" spans="2:17" customFormat="1" ht="15" hidden="1" x14ac:dyDescent="0.25">
      <c r="B562">
        <v>10418</v>
      </c>
      <c r="C562" t="s">
        <v>475</v>
      </c>
      <c r="D562" s="1">
        <v>35447</v>
      </c>
      <c r="E562" s="1" t="str">
        <f t="shared" si="24"/>
        <v>jan</v>
      </c>
      <c r="F562" s="1" t="str">
        <f t="shared" si="25"/>
        <v>1997</v>
      </c>
      <c r="G562" s="1">
        <v>35475</v>
      </c>
      <c r="H562" s="1">
        <v>35454</v>
      </c>
      <c r="I562">
        <v>1</v>
      </c>
      <c r="J562" t="str">
        <f t="shared" si="26"/>
        <v>UPS</v>
      </c>
      <c r="K562">
        <v>17.55</v>
      </c>
      <c r="L562" t="s">
        <v>28</v>
      </c>
      <c r="M562" t="s">
        <v>477</v>
      </c>
      <c r="N562" t="s">
        <v>478</v>
      </c>
      <c r="P562" t="s">
        <v>479</v>
      </c>
      <c r="Q562" t="s">
        <v>94</v>
      </c>
    </row>
    <row r="563" spans="2:17" customFormat="1" ht="15" hidden="1" x14ac:dyDescent="0.25">
      <c r="B563">
        <v>10451</v>
      </c>
      <c r="C563" t="s">
        <v>475</v>
      </c>
      <c r="D563" s="1">
        <v>35480</v>
      </c>
      <c r="E563" s="1" t="str">
        <f t="shared" si="24"/>
        <v>fev</v>
      </c>
      <c r="F563" s="1" t="str">
        <f t="shared" si="25"/>
        <v>1997</v>
      </c>
      <c r="G563" s="1">
        <v>35494</v>
      </c>
      <c r="H563" s="1">
        <v>35501</v>
      </c>
      <c r="I563">
        <v>3</v>
      </c>
      <c r="J563" t="str">
        <f t="shared" si="26"/>
        <v>DHL</v>
      </c>
      <c r="K563">
        <v>189.09</v>
      </c>
      <c r="L563" t="s">
        <v>28</v>
      </c>
      <c r="M563" t="s">
        <v>477</v>
      </c>
      <c r="N563" t="s">
        <v>478</v>
      </c>
      <c r="P563" t="s">
        <v>479</v>
      </c>
      <c r="Q563" t="s">
        <v>94</v>
      </c>
    </row>
    <row r="564" spans="2:17" customFormat="1" ht="15" hidden="1" x14ac:dyDescent="0.25">
      <c r="B564">
        <v>10515</v>
      </c>
      <c r="C564" t="s">
        <v>475</v>
      </c>
      <c r="D564" s="1">
        <v>35543</v>
      </c>
      <c r="E564" s="1" t="str">
        <f t="shared" si="24"/>
        <v>abr</v>
      </c>
      <c r="F564" s="1" t="str">
        <f t="shared" si="25"/>
        <v>1997</v>
      </c>
      <c r="G564" s="1">
        <v>35557</v>
      </c>
      <c r="H564" s="1">
        <v>35573</v>
      </c>
      <c r="I564">
        <v>1</v>
      </c>
      <c r="J564" t="str">
        <f t="shared" si="26"/>
        <v>UPS</v>
      </c>
      <c r="K564">
        <v>204.47</v>
      </c>
      <c r="L564" t="s">
        <v>28</v>
      </c>
      <c r="M564" t="s">
        <v>477</v>
      </c>
      <c r="N564" t="s">
        <v>478</v>
      </c>
      <c r="P564" t="s">
        <v>479</v>
      </c>
      <c r="Q564" t="s">
        <v>94</v>
      </c>
    </row>
    <row r="565" spans="2:17" customFormat="1" ht="15" hidden="1" x14ac:dyDescent="0.25">
      <c r="B565">
        <v>10527</v>
      </c>
      <c r="C565" t="s">
        <v>475</v>
      </c>
      <c r="D565" s="1">
        <v>35555</v>
      </c>
      <c r="E565" s="1" t="str">
        <f t="shared" si="24"/>
        <v>mai</v>
      </c>
      <c r="F565" s="1" t="str">
        <f t="shared" si="25"/>
        <v>1997</v>
      </c>
      <c r="G565" s="1">
        <v>35583</v>
      </c>
      <c r="H565" s="1">
        <v>35557</v>
      </c>
      <c r="I565">
        <v>1</v>
      </c>
      <c r="J565" t="str">
        <f t="shared" si="26"/>
        <v>UPS</v>
      </c>
      <c r="K565">
        <v>41.9</v>
      </c>
      <c r="L565" t="s">
        <v>28</v>
      </c>
      <c r="M565" t="s">
        <v>477</v>
      </c>
      <c r="N565" t="s">
        <v>478</v>
      </c>
      <c r="P565" t="s">
        <v>479</v>
      </c>
      <c r="Q565" t="s">
        <v>94</v>
      </c>
    </row>
    <row r="566" spans="2:17" customFormat="1" ht="15" hidden="1" x14ac:dyDescent="0.25">
      <c r="B566">
        <v>10540</v>
      </c>
      <c r="C566" t="s">
        <v>475</v>
      </c>
      <c r="D566" s="1">
        <v>35569</v>
      </c>
      <c r="E566" s="1" t="str">
        <f t="shared" si="24"/>
        <v>mai</v>
      </c>
      <c r="F566" s="1" t="str">
        <f t="shared" si="25"/>
        <v>1997</v>
      </c>
      <c r="G566" s="1">
        <v>35597</v>
      </c>
      <c r="H566" s="1">
        <v>35594</v>
      </c>
      <c r="I566">
        <v>3</v>
      </c>
      <c r="J566" t="str">
        <f t="shared" si="26"/>
        <v>DHL</v>
      </c>
      <c r="K566">
        <v>1007.64</v>
      </c>
      <c r="L566" t="s">
        <v>28</v>
      </c>
      <c r="M566" t="s">
        <v>477</v>
      </c>
      <c r="N566" t="s">
        <v>478</v>
      </c>
      <c r="P566" t="s">
        <v>479</v>
      </c>
      <c r="Q566" t="s">
        <v>94</v>
      </c>
    </row>
    <row r="567" spans="2:17" customFormat="1" ht="15" hidden="1" x14ac:dyDescent="0.25">
      <c r="B567">
        <v>10549</v>
      </c>
      <c r="C567" t="s">
        <v>475</v>
      </c>
      <c r="D567" s="1">
        <v>35577</v>
      </c>
      <c r="E567" s="1" t="str">
        <f t="shared" si="24"/>
        <v>mai</v>
      </c>
      <c r="F567" s="1" t="str">
        <f t="shared" si="25"/>
        <v>1997</v>
      </c>
      <c r="G567" s="1">
        <v>35591</v>
      </c>
      <c r="H567" s="1">
        <v>35580</v>
      </c>
      <c r="I567">
        <v>1</v>
      </c>
      <c r="J567" t="str">
        <f t="shared" si="26"/>
        <v>UPS</v>
      </c>
      <c r="K567">
        <v>171.24</v>
      </c>
      <c r="L567" t="s">
        <v>28</v>
      </c>
      <c r="M567" t="s">
        <v>477</v>
      </c>
      <c r="N567" t="s">
        <v>478</v>
      </c>
      <c r="P567" t="s">
        <v>479</v>
      </c>
      <c r="Q567" t="s">
        <v>94</v>
      </c>
    </row>
    <row r="568" spans="2:17" customFormat="1" ht="15" hidden="1" x14ac:dyDescent="0.25">
      <c r="B568">
        <v>10588</v>
      </c>
      <c r="C568" t="s">
        <v>475</v>
      </c>
      <c r="D568" s="1">
        <v>35614</v>
      </c>
      <c r="E568" s="1" t="str">
        <f t="shared" si="24"/>
        <v>jul</v>
      </c>
      <c r="F568" s="1" t="str">
        <f t="shared" si="25"/>
        <v>1997</v>
      </c>
      <c r="G568" s="1">
        <v>35642</v>
      </c>
      <c r="H568" s="1">
        <v>35621</v>
      </c>
      <c r="I568">
        <v>3</v>
      </c>
      <c r="J568" t="str">
        <f t="shared" si="26"/>
        <v>DHL</v>
      </c>
      <c r="K568">
        <v>194.67</v>
      </c>
      <c r="L568" t="s">
        <v>28</v>
      </c>
      <c r="M568" t="s">
        <v>477</v>
      </c>
      <c r="N568" t="s">
        <v>478</v>
      </c>
      <c r="P568" t="s">
        <v>479</v>
      </c>
      <c r="Q568" t="s">
        <v>94</v>
      </c>
    </row>
    <row r="569" spans="2:17" customFormat="1" ht="15" hidden="1" x14ac:dyDescent="0.25">
      <c r="B569">
        <v>10658</v>
      </c>
      <c r="C569" t="s">
        <v>475</v>
      </c>
      <c r="D569" s="1">
        <v>35678</v>
      </c>
      <c r="E569" s="1" t="str">
        <f t="shared" si="24"/>
        <v>set</v>
      </c>
      <c r="F569" s="1" t="str">
        <f t="shared" si="25"/>
        <v>1997</v>
      </c>
      <c r="G569" s="1">
        <v>35706</v>
      </c>
      <c r="H569" s="1">
        <v>35681</v>
      </c>
      <c r="I569">
        <v>1</v>
      </c>
      <c r="J569" t="str">
        <f t="shared" si="26"/>
        <v>UPS</v>
      </c>
      <c r="K569">
        <v>364.15</v>
      </c>
      <c r="L569" t="s">
        <v>28</v>
      </c>
      <c r="M569" t="s">
        <v>477</v>
      </c>
      <c r="N569" t="s">
        <v>478</v>
      </c>
      <c r="P569" t="s">
        <v>479</v>
      </c>
      <c r="Q569" t="s">
        <v>94</v>
      </c>
    </row>
    <row r="570" spans="2:17" customFormat="1" ht="15" hidden="1" x14ac:dyDescent="0.25">
      <c r="B570">
        <v>10691</v>
      </c>
      <c r="C570" t="s">
        <v>475</v>
      </c>
      <c r="D570" s="1">
        <v>35706</v>
      </c>
      <c r="E570" s="1" t="str">
        <f t="shared" si="24"/>
        <v>out</v>
      </c>
      <c r="F570" s="1" t="str">
        <f t="shared" si="25"/>
        <v>1997</v>
      </c>
      <c r="G570" s="1">
        <v>35748</v>
      </c>
      <c r="H570" s="1">
        <v>35725</v>
      </c>
      <c r="I570">
        <v>2</v>
      </c>
      <c r="J570" t="str">
        <f t="shared" si="26"/>
        <v>USPS</v>
      </c>
      <c r="K570">
        <v>810.05</v>
      </c>
      <c r="L570" t="s">
        <v>28</v>
      </c>
      <c r="M570" t="s">
        <v>477</v>
      </c>
      <c r="N570" t="s">
        <v>478</v>
      </c>
      <c r="P570" t="s">
        <v>479</v>
      </c>
      <c r="Q570" t="s">
        <v>94</v>
      </c>
    </row>
    <row r="571" spans="2:17" customFormat="1" ht="15" hidden="1" x14ac:dyDescent="0.25">
      <c r="B571">
        <v>10694</v>
      </c>
      <c r="C571" t="s">
        <v>475</v>
      </c>
      <c r="D571" s="1">
        <v>35709</v>
      </c>
      <c r="E571" s="1" t="str">
        <f t="shared" si="24"/>
        <v>out</v>
      </c>
      <c r="F571" s="1" t="str">
        <f t="shared" si="25"/>
        <v>1997</v>
      </c>
      <c r="G571" s="1">
        <v>35737</v>
      </c>
      <c r="H571" s="1">
        <v>35712</v>
      </c>
      <c r="I571">
        <v>3</v>
      </c>
      <c r="J571" t="str">
        <f t="shared" si="26"/>
        <v>DHL</v>
      </c>
      <c r="K571">
        <v>398.36</v>
      </c>
      <c r="L571" t="s">
        <v>28</v>
      </c>
      <c r="M571" t="s">
        <v>477</v>
      </c>
      <c r="N571" t="s">
        <v>478</v>
      </c>
      <c r="P571" t="s">
        <v>479</v>
      </c>
      <c r="Q571" t="s">
        <v>94</v>
      </c>
    </row>
    <row r="572" spans="2:17" customFormat="1" ht="15" hidden="1" x14ac:dyDescent="0.25">
      <c r="B572">
        <v>10721</v>
      </c>
      <c r="C572" t="s">
        <v>475</v>
      </c>
      <c r="D572" s="1">
        <v>35732</v>
      </c>
      <c r="E572" s="1" t="str">
        <f t="shared" si="24"/>
        <v>out</v>
      </c>
      <c r="F572" s="1" t="str">
        <f t="shared" si="25"/>
        <v>1997</v>
      </c>
      <c r="G572" s="1">
        <v>35760</v>
      </c>
      <c r="H572" s="1">
        <v>35734</v>
      </c>
      <c r="I572">
        <v>3</v>
      </c>
      <c r="J572" t="str">
        <f t="shared" si="26"/>
        <v>DHL</v>
      </c>
      <c r="K572">
        <v>48.92</v>
      </c>
      <c r="L572" t="s">
        <v>28</v>
      </c>
      <c r="M572" t="s">
        <v>477</v>
      </c>
      <c r="N572" t="s">
        <v>478</v>
      </c>
      <c r="P572" t="s">
        <v>479</v>
      </c>
      <c r="Q572" t="s">
        <v>94</v>
      </c>
    </row>
    <row r="573" spans="2:17" customFormat="1" ht="15" hidden="1" x14ac:dyDescent="0.25">
      <c r="B573">
        <v>10745</v>
      </c>
      <c r="C573" t="s">
        <v>475</v>
      </c>
      <c r="D573" s="1">
        <v>35752</v>
      </c>
      <c r="E573" s="1" t="str">
        <f t="shared" si="24"/>
        <v>nov</v>
      </c>
      <c r="F573" s="1" t="str">
        <f t="shared" si="25"/>
        <v>1997</v>
      </c>
      <c r="G573" s="1">
        <v>35780</v>
      </c>
      <c r="H573" s="1">
        <v>35761</v>
      </c>
      <c r="I573">
        <v>1</v>
      </c>
      <c r="J573" t="str">
        <f t="shared" si="26"/>
        <v>UPS</v>
      </c>
      <c r="K573">
        <v>3.52</v>
      </c>
      <c r="L573" t="s">
        <v>28</v>
      </c>
      <c r="M573" t="s">
        <v>477</v>
      </c>
      <c r="N573" t="s">
        <v>478</v>
      </c>
      <c r="P573" t="s">
        <v>479</v>
      </c>
      <c r="Q573" t="s">
        <v>94</v>
      </c>
    </row>
    <row r="574" spans="2:17" customFormat="1" ht="15" hidden="1" x14ac:dyDescent="0.25">
      <c r="B574">
        <v>10765</v>
      </c>
      <c r="C574" t="s">
        <v>475</v>
      </c>
      <c r="D574" s="1">
        <v>35768</v>
      </c>
      <c r="E574" s="1" t="str">
        <f t="shared" si="24"/>
        <v>dez</v>
      </c>
      <c r="F574" s="1" t="str">
        <f t="shared" si="25"/>
        <v>1997</v>
      </c>
      <c r="G574" s="1">
        <v>35796</v>
      </c>
      <c r="H574" s="1">
        <v>35773</v>
      </c>
      <c r="I574">
        <v>3</v>
      </c>
      <c r="J574" t="str">
        <f t="shared" si="26"/>
        <v>DHL</v>
      </c>
      <c r="K574">
        <v>42.74</v>
      </c>
      <c r="L574" t="s">
        <v>28</v>
      </c>
      <c r="M574" t="s">
        <v>477</v>
      </c>
      <c r="N574" t="s">
        <v>478</v>
      </c>
      <c r="P574" t="s">
        <v>479</v>
      </c>
      <c r="Q574" t="s">
        <v>94</v>
      </c>
    </row>
    <row r="575" spans="2:17" customFormat="1" ht="15" hidden="1" x14ac:dyDescent="0.25">
      <c r="B575">
        <v>10788</v>
      </c>
      <c r="C575" t="s">
        <v>475</v>
      </c>
      <c r="D575" s="1">
        <v>35786</v>
      </c>
      <c r="E575" s="1" t="str">
        <f t="shared" si="24"/>
        <v>dez</v>
      </c>
      <c r="F575" s="1" t="str">
        <f t="shared" si="25"/>
        <v>1997</v>
      </c>
      <c r="G575" s="1">
        <v>35814</v>
      </c>
      <c r="H575" s="1">
        <v>35814</v>
      </c>
      <c r="I575">
        <v>2</v>
      </c>
      <c r="J575" t="str">
        <f t="shared" si="26"/>
        <v>USPS</v>
      </c>
      <c r="K575">
        <v>42.7</v>
      </c>
      <c r="L575" t="s">
        <v>28</v>
      </c>
      <c r="M575" t="s">
        <v>477</v>
      </c>
      <c r="N575" t="s">
        <v>478</v>
      </c>
      <c r="P575" t="s">
        <v>479</v>
      </c>
      <c r="Q575" t="s">
        <v>94</v>
      </c>
    </row>
    <row r="576" spans="2:17" customFormat="1" ht="15" hidden="1" x14ac:dyDescent="0.25">
      <c r="B576">
        <v>10845</v>
      </c>
      <c r="C576" t="s">
        <v>475</v>
      </c>
      <c r="D576" s="1">
        <v>35816</v>
      </c>
      <c r="E576" s="1" t="str">
        <f t="shared" si="24"/>
        <v>jan</v>
      </c>
      <c r="F576" s="1" t="str">
        <f t="shared" si="25"/>
        <v>1998</v>
      </c>
      <c r="G576" s="1">
        <v>35830</v>
      </c>
      <c r="H576" s="1">
        <v>35825</v>
      </c>
      <c r="I576">
        <v>1</v>
      </c>
      <c r="J576" t="str">
        <f t="shared" si="26"/>
        <v>UPS</v>
      </c>
      <c r="K576">
        <v>212.98</v>
      </c>
      <c r="L576" t="s">
        <v>28</v>
      </c>
      <c r="M576" t="s">
        <v>477</v>
      </c>
      <c r="N576" t="s">
        <v>478</v>
      </c>
      <c r="P576" t="s">
        <v>479</v>
      </c>
      <c r="Q576" t="s">
        <v>94</v>
      </c>
    </row>
    <row r="577" spans="2:17" customFormat="1" ht="15" hidden="1" x14ac:dyDescent="0.25">
      <c r="B577">
        <v>10865</v>
      </c>
      <c r="C577" t="s">
        <v>475</v>
      </c>
      <c r="D577" s="1">
        <v>35828</v>
      </c>
      <c r="E577" s="1" t="str">
        <f t="shared" si="24"/>
        <v>fev</v>
      </c>
      <c r="F577" s="1" t="str">
        <f t="shared" si="25"/>
        <v>1998</v>
      </c>
      <c r="G577" s="1">
        <v>35842</v>
      </c>
      <c r="H577" s="1">
        <v>35838</v>
      </c>
      <c r="I577">
        <v>1</v>
      </c>
      <c r="J577" t="str">
        <f t="shared" si="26"/>
        <v>UPS</v>
      </c>
      <c r="K577">
        <v>348.14</v>
      </c>
      <c r="L577" t="s">
        <v>28</v>
      </c>
      <c r="M577" t="s">
        <v>477</v>
      </c>
      <c r="N577" t="s">
        <v>478</v>
      </c>
      <c r="P577" t="s">
        <v>479</v>
      </c>
      <c r="Q577" t="s">
        <v>94</v>
      </c>
    </row>
    <row r="578" spans="2:17" customFormat="1" ht="15" hidden="1" x14ac:dyDescent="0.25">
      <c r="B578">
        <v>10878</v>
      </c>
      <c r="C578" t="s">
        <v>475</v>
      </c>
      <c r="D578" s="1">
        <v>35836</v>
      </c>
      <c r="E578" s="1" t="str">
        <f t="shared" si="24"/>
        <v>fev</v>
      </c>
      <c r="F578" s="1" t="str">
        <f t="shared" si="25"/>
        <v>1998</v>
      </c>
      <c r="G578" s="1">
        <v>35864</v>
      </c>
      <c r="H578" s="1">
        <v>35838</v>
      </c>
      <c r="I578">
        <v>1</v>
      </c>
      <c r="J578" t="str">
        <f t="shared" si="26"/>
        <v>UPS</v>
      </c>
      <c r="K578">
        <v>46.69</v>
      </c>
      <c r="L578" t="s">
        <v>28</v>
      </c>
      <c r="M578" t="s">
        <v>477</v>
      </c>
      <c r="N578" t="s">
        <v>478</v>
      </c>
      <c r="P578" t="s">
        <v>479</v>
      </c>
      <c r="Q578" t="s">
        <v>94</v>
      </c>
    </row>
    <row r="579" spans="2:17" customFormat="1" ht="15" hidden="1" x14ac:dyDescent="0.25">
      <c r="B579">
        <v>10938</v>
      </c>
      <c r="C579" t="s">
        <v>475</v>
      </c>
      <c r="D579" s="1">
        <v>35864</v>
      </c>
      <c r="E579" s="1" t="str">
        <f t="shared" si="24"/>
        <v>mar</v>
      </c>
      <c r="F579" s="1" t="str">
        <f t="shared" si="25"/>
        <v>1998</v>
      </c>
      <c r="G579" s="1">
        <v>35892</v>
      </c>
      <c r="H579" s="1">
        <v>35870</v>
      </c>
      <c r="I579">
        <v>2</v>
      </c>
      <c r="J579" t="str">
        <f t="shared" si="26"/>
        <v>USPS</v>
      </c>
      <c r="K579">
        <v>31.89</v>
      </c>
      <c r="L579" t="s">
        <v>28</v>
      </c>
      <c r="M579" t="s">
        <v>477</v>
      </c>
      <c r="N579" t="s">
        <v>478</v>
      </c>
      <c r="P579" t="s">
        <v>479</v>
      </c>
      <c r="Q579" t="s">
        <v>94</v>
      </c>
    </row>
    <row r="580" spans="2:17" customFormat="1" ht="15" hidden="1" x14ac:dyDescent="0.25">
      <c r="B580">
        <v>10962</v>
      </c>
      <c r="C580" t="s">
        <v>475</v>
      </c>
      <c r="D580" s="1">
        <v>35873</v>
      </c>
      <c r="E580" s="1" t="str">
        <f t="shared" si="24"/>
        <v>mar</v>
      </c>
      <c r="F580" s="1" t="str">
        <f t="shared" si="25"/>
        <v>1998</v>
      </c>
      <c r="G580" s="1">
        <v>35901</v>
      </c>
      <c r="H580" s="1">
        <v>35877</v>
      </c>
      <c r="I580">
        <v>2</v>
      </c>
      <c r="J580" t="str">
        <f t="shared" si="26"/>
        <v>USPS</v>
      </c>
      <c r="K580">
        <v>275.79000000000002</v>
      </c>
      <c r="L580" t="s">
        <v>28</v>
      </c>
      <c r="M580" t="s">
        <v>477</v>
      </c>
      <c r="N580" t="s">
        <v>478</v>
      </c>
      <c r="P580" t="s">
        <v>479</v>
      </c>
      <c r="Q580" t="s">
        <v>94</v>
      </c>
    </row>
    <row r="581" spans="2:17" customFormat="1" ht="15" hidden="1" x14ac:dyDescent="0.25">
      <c r="B581">
        <v>10991</v>
      </c>
      <c r="C581" t="s">
        <v>475</v>
      </c>
      <c r="D581" s="1">
        <v>35886</v>
      </c>
      <c r="E581" s="1" t="str">
        <f t="shared" si="24"/>
        <v>abr</v>
      </c>
      <c r="F581" s="1" t="str">
        <f t="shared" si="25"/>
        <v>1998</v>
      </c>
      <c r="G581" s="1">
        <v>35914</v>
      </c>
      <c r="H581" s="1">
        <v>35892</v>
      </c>
      <c r="I581">
        <v>1</v>
      </c>
      <c r="J581" t="str">
        <f t="shared" si="26"/>
        <v>UPS</v>
      </c>
      <c r="K581">
        <v>38.51</v>
      </c>
      <c r="L581" t="s">
        <v>28</v>
      </c>
      <c r="M581" t="s">
        <v>477</v>
      </c>
      <c r="N581" t="s">
        <v>478</v>
      </c>
      <c r="P581" t="s">
        <v>479</v>
      </c>
      <c r="Q581" t="s">
        <v>94</v>
      </c>
    </row>
    <row r="582" spans="2:17" customFormat="1" ht="15" hidden="1" x14ac:dyDescent="0.25">
      <c r="B582">
        <v>10996</v>
      </c>
      <c r="C582" t="s">
        <v>475</v>
      </c>
      <c r="D582" s="1">
        <v>35887</v>
      </c>
      <c r="E582" s="1" t="str">
        <f t="shared" si="24"/>
        <v>abr</v>
      </c>
      <c r="F582" s="1" t="str">
        <f t="shared" si="25"/>
        <v>1998</v>
      </c>
      <c r="G582" s="1">
        <v>35915</v>
      </c>
      <c r="H582" s="1">
        <v>35895</v>
      </c>
      <c r="I582">
        <v>2</v>
      </c>
      <c r="J582" t="str">
        <f t="shared" si="26"/>
        <v>USPS</v>
      </c>
      <c r="K582">
        <v>1.1200000000000001</v>
      </c>
      <c r="L582" t="s">
        <v>28</v>
      </c>
      <c r="M582" t="s">
        <v>477</v>
      </c>
      <c r="N582" t="s">
        <v>478</v>
      </c>
      <c r="P582" t="s">
        <v>479</v>
      </c>
      <c r="Q582" t="s">
        <v>94</v>
      </c>
    </row>
    <row r="583" spans="2:17" customFormat="1" ht="15" hidden="1" x14ac:dyDescent="0.25">
      <c r="B583">
        <v>11021</v>
      </c>
      <c r="C583" t="s">
        <v>475</v>
      </c>
      <c r="D583" s="1">
        <v>35899</v>
      </c>
      <c r="E583" s="1" t="str">
        <f t="shared" si="24"/>
        <v>abr</v>
      </c>
      <c r="F583" s="1" t="str">
        <f t="shared" si="25"/>
        <v>1998</v>
      </c>
      <c r="G583" s="1">
        <v>35927</v>
      </c>
      <c r="H583" s="1">
        <v>35906</v>
      </c>
      <c r="I583">
        <v>1</v>
      </c>
      <c r="J583" t="str">
        <f t="shared" si="26"/>
        <v>UPS</v>
      </c>
      <c r="K583">
        <v>297.18</v>
      </c>
      <c r="L583" t="s">
        <v>28</v>
      </c>
      <c r="M583" t="s">
        <v>477</v>
      </c>
      <c r="N583" t="s">
        <v>478</v>
      </c>
      <c r="P583" t="s">
        <v>479</v>
      </c>
      <c r="Q583" t="s">
        <v>94</v>
      </c>
    </row>
    <row r="584" spans="2:17" customFormat="1" ht="15" hidden="1" x14ac:dyDescent="0.25">
      <c r="B584">
        <v>10448</v>
      </c>
      <c r="C584" t="s">
        <v>481</v>
      </c>
      <c r="D584" s="1">
        <v>35478</v>
      </c>
      <c r="E584" s="1" t="str">
        <f t="shared" si="24"/>
        <v>fev</v>
      </c>
      <c r="F584" s="1" t="str">
        <f t="shared" si="25"/>
        <v>1997</v>
      </c>
      <c r="G584" s="1">
        <v>35506</v>
      </c>
      <c r="H584" s="1">
        <v>35485</v>
      </c>
      <c r="I584">
        <v>2</v>
      </c>
      <c r="J584" t="str">
        <f t="shared" si="26"/>
        <v>USPS</v>
      </c>
      <c r="K584">
        <v>38.82</v>
      </c>
      <c r="L584" t="s">
        <v>27</v>
      </c>
      <c r="M584" t="s">
        <v>483</v>
      </c>
      <c r="N584" t="s">
        <v>167</v>
      </c>
      <c r="P584" t="s">
        <v>168</v>
      </c>
      <c r="Q584" t="s">
        <v>169</v>
      </c>
    </row>
    <row r="585" spans="2:17" customFormat="1" ht="15" hidden="1" x14ac:dyDescent="0.25">
      <c r="B585">
        <v>10716</v>
      </c>
      <c r="C585" t="s">
        <v>481</v>
      </c>
      <c r="D585" s="1">
        <v>35727</v>
      </c>
      <c r="E585" s="1" t="str">
        <f t="shared" si="24"/>
        <v>out</v>
      </c>
      <c r="F585" s="1" t="str">
        <f t="shared" si="25"/>
        <v>1997</v>
      </c>
      <c r="G585" s="1">
        <v>35755</v>
      </c>
      <c r="H585" s="1">
        <v>35730</v>
      </c>
      <c r="I585">
        <v>2</v>
      </c>
      <c r="J585" t="str">
        <f t="shared" si="26"/>
        <v>USPS</v>
      </c>
      <c r="K585">
        <v>22.57</v>
      </c>
      <c r="L585" t="s">
        <v>27</v>
      </c>
      <c r="M585" t="s">
        <v>483</v>
      </c>
      <c r="N585" t="s">
        <v>167</v>
      </c>
      <c r="P585" t="s">
        <v>168</v>
      </c>
      <c r="Q585" t="s">
        <v>169</v>
      </c>
    </row>
    <row r="586" spans="2:17" customFormat="1" ht="15" hidden="1" x14ac:dyDescent="0.25">
      <c r="B586">
        <v>10828</v>
      </c>
      <c r="C586" t="s">
        <v>481</v>
      </c>
      <c r="D586" s="1">
        <v>35808</v>
      </c>
      <c r="E586" s="1" t="str">
        <f t="shared" si="24"/>
        <v>jan</v>
      </c>
      <c r="F586" s="1" t="str">
        <f t="shared" si="25"/>
        <v>1998</v>
      </c>
      <c r="G586" s="1">
        <v>35822</v>
      </c>
      <c r="H586" s="1">
        <v>35830</v>
      </c>
      <c r="I586">
        <v>1</v>
      </c>
      <c r="J586" t="str">
        <f t="shared" si="26"/>
        <v>UPS</v>
      </c>
      <c r="K586">
        <v>90.85</v>
      </c>
      <c r="L586" t="s">
        <v>27</v>
      </c>
      <c r="M586" t="s">
        <v>483</v>
      </c>
      <c r="N586" t="s">
        <v>167</v>
      </c>
      <c r="P586" t="s">
        <v>168</v>
      </c>
      <c r="Q586" t="s">
        <v>169</v>
      </c>
    </row>
    <row r="587" spans="2:17" customFormat="1" ht="15" hidden="1" x14ac:dyDescent="0.25">
      <c r="B587">
        <v>10916</v>
      </c>
      <c r="C587" t="s">
        <v>481</v>
      </c>
      <c r="D587" s="1">
        <v>35853</v>
      </c>
      <c r="E587" s="1" t="str">
        <f t="shared" si="24"/>
        <v>fev</v>
      </c>
      <c r="F587" s="1" t="str">
        <f t="shared" si="25"/>
        <v>1998</v>
      </c>
      <c r="G587" s="1">
        <v>35881</v>
      </c>
      <c r="H587" s="1">
        <v>35863</v>
      </c>
      <c r="I587">
        <v>2</v>
      </c>
      <c r="J587" t="str">
        <f t="shared" si="26"/>
        <v>USPS</v>
      </c>
      <c r="K587">
        <v>63.77</v>
      </c>
      <c r="L587" t="s">
        <v>27</v>
      </c>
      <c r="M587" t="s">
        <v>483</v>
      </c>
      <c r="N587" t="s">
        <v>167</v>
      </c>
      <c r="P587" t="s">
        <v>168</v>
      </c>
      <c r="Q587" t="s">
        <v>169</v>
      </c>
    </row>
    <row r="588" spans="2:17" customFormat="1" ht="15" hidden="1" x14ac:dyDescent="0.25">
      <c r="B588">
        <v>11019</v>
      </c>
      <c r="C588" t="s">
        <v>481</v>
      </c>
      <c r="D588" s="1">
        <v>35898</v>
      </c>
      <c r="E588" s="1" t="str">
        <f t="shared" si="24"/>
        <v>abr</v>
      </c>
      <c r="F588" s="1" t="str">
        <f t="shared" si="25"/>
        <v>1998</v>
      </c>
      <c r="G588" s="1">
        <v>35926</v>
      </c>
      <c r="H588" s="1"/>
      <c r="I588">
        <v>3</v>
      </c>
      <c r="J588" t="str">
        <f t="shared" si="26"/>
        <v>DHL</v>
      </c>
      <c r="K588">
        <v>3.17</v>
      </c>
      <c r="L588" t="s">
        <v>27</v>
      </c>
      <c r="M588" t="s">
        <v>483</v>
      </c>
      <c r="N588" t="s">
        <v>167</v>
      </c>
      <c r="P588" t="s">
        <v>168</v>
      </c>
      <c r="Q588" t="s">
        <v>169</v>
      </c>
    </row>
    <row r="589" spans="2:17" customFormat="1" ht="15" hidden="1" x14ac:dyDescent="0.25">
      <c r="B589">
        <v>10262</v>
      </c>
      <c r="C589" t="s">
        <v>485</v>
      </c>
      <c r="D589" s="1">
        <v>35268</v>
      </c>
      <c r="E589" s="1" t="str">
        <f t="shared" si="24"/>
        <v>jul</v>
      </c>
      <c r="F589" s="1" t="str">
        <f t="shared" si="25"/>
        <v>1996</v>
      </c>
      <c r="G589" s="1">
        <v>35296</v>
      </c>
      <c r="H589" s="1">
        <v>35271</v>
      </c>
      <c r="I589">
        <v>3</v>
      </c>
      <c r="J589" t="str">
        <f t="shared" si="26"/>
        <v>DHL</v>
      </c>
      <c r="K589">
        <v>48.29</v>
      </c>
      <c r="L589" t="s">
        <v>26</v>
      </c>
      <c r="M589" t="s">
        <v>488</v>
      </c>
      <c r="N589" t="s">
        <v>489</v>
      </c>
      <c r="O589" t="s">
        <v>490</v>
      </c>
      <c r="P589" t="s">
        <v>491</v>
      </c>
      <c r="Q589" t="s">
        <v>290</v>
      </c>
    </row>
    <row r="590" spans="2:17" customFormat="1" ht="15" hidden="1" x14ac:dyDescent="0.25">
      <c r="B590">
        <v>10272</v>
      </c>
      <c r="C590" t="s">
        <v>485</v>
      </c>
      <c r="D590" s="1">
        <v>35279</v>
      </c>
      <c r="E590" s="1" t="str">
        <f t="shared" ref="E590:E653" si="27">TEXT(D590,"mmm")</f>
        <v>ago</v>
      </c>
      <c r="F590" s="1" t="str">
        <f t="shared" ref="F590:F653" si="28">TEXT(D590,"aaa")</f>
        <v>1996</v>
      </c>
      <c r="G590" s="1">
        <v>35307</v>
      </c>
      <c r="H590" s="1">
        <v>35283</v>
      </c>
      <c r="I590">
        <v>2</v>
      </c>
      <c r="J590" t="str">
        <f t="shared" ref="J590:J653" si="29">CHOOSE(I590,"UPS","USPS","DHL")</f>
        <v>USPS</v>
      </c>
      <c r="K590">
        <v>98.03</v>
      </c>
      <c r="L590" t="s">
        <v>26</v>
      </c>
      <c r="M590" t="s">
        <v>488</v>
      </c>
      <c r="N590" t="s">
        <v>489</v>
      </c>
      <c r="O590" t="s">
        <v>490</v>
      </c>
      <c r="P590" t="s">
        <v>491</v>
      </c>
      <c r="Q590" t="s">
        <v>290</v>
      </c>
    </row>
    <row r="591" spans="2:17" customFormat="1" ht="15" hidden="1" x14ac:dyDescent="0.25">
      <c r="B591">
        <v>10294</v>
      </c>
      <c r="C591" t="s">
        <v>485</v>
      </c>
      <c r="D591" s="1">
        <v>35307</v>
      </c>
      <c r="E591" s="1" t="str">
        <f t="shared" si="27"/>
        <v>ago</v>
      </c>
      <c r="F591" s="1" t="str">
        <f t="shared" si="28"/>
        <v>1996</v>
      </c>
      <c r="G591" s="1">
        <v>35335</v>
      </c>
      <c r="H591" s="1">
        <v>35313</v>
      </c>
      <c r="I591">
        <v>2</v>
      </c>
      <c r="J591" t="str">
        <f t="shared" si="29"/>
        <v>USPS</v>
      </c>
      <c r="K591">
        <v>147.26</v>
      </c>
      <c r="L591" t="s">
        <v>26</v>
      </c>
      <c r="M591" t="s">
        <v>488</v>
      </c>
      <c r="N591" t="s">
        <v>489</v>
      </c>
      <c r="O591" t="s">
        <v>490</v>
      </c>
      <c r="P591" t="s">
        <v>491</v>
      </c>
      <c r="Q591" t="s">
        <v>290</v>
      </c>
    </row>
    <row r="592" spans="2:17" customFormat="1" ht="15" hidden="1" x14ac:dyDescent="0.25">
      <c r="B592">
        <v>10314</v>
      </c>
      <c r="C592" t="s">
        <v>485</v>
      </c>
      <c r="D592" s="1">
        <v>35333</v>
      </c>
      <c r="E592" s="1" t="str">
        <f t="shared" si="27"/>
        <v>set</v>
      </c>
      <c r="F592" s="1" t="str">
        <f t="shared" si="28"/>
        <v>1996</v>
      </c>
      <c r="G592" s="1">
        <v>35361</v>
      </c>
      <c r="H592" s="1">
        <v>35342</v>
      </c>
      <c r="I592">
        <v>2</v>
      </c>
      <c r="J592" t="str">
        <f t="shared" si="29"/>
        <v>USPS</v>
      </c>
      <c r="K592">
        <v>74.16</v>
      </c>
      <c r="L592" t="s">
        <v>26</v>
      </c>
      <c r="M592" t="s">
        <v>488</v>
      </c>
      <c r="N592" t="s">
        <v>489</v>
      </c>
      <c r="O592" t="s">
        <v>490</v>
      </c>
      <c r="P592" t="s">
        <v>491</v>
      </c>
      <c r="Q592" t="s">
        <v>290</v>
      </c>
    </row>
    <row r="593" spans="2:17" customFormat="1" ht="15" hidden="1" x14ac:dyDescent="0.25">
      <c r="B593">
        <v>10316</v>
      </c>
      <c r="C593" t="s">
        <v>485</v>
      </c>
      <c r="D593" s="1">
        <v>35335</v>
      </c>
      <c r="E593" s="1" t="str">
        <f t="shared" si="27"/>
        <v>set</v>
      </c>
      <c r="F593" s="1" t="str">
        <f t="shared" si="28"/>
        <v>1996</v>
      </c>
      <c r="G593" s="1">
        <v>35363</v>
      </c>
      <c r="H593" s="1">
        <v>35346</v>
      </c>
      <c r="I593">
        <v>3</v>
      </c>
      <c r="J593" t="str">
        <f t="shared" si="29"/>
        <v>DHL</v>
      </c>
      <c r="K593">
        <v>150.15</v>
      </c>
      <c r="L593" t="s">
        <v>26</v>
      </c>
      <c r="M593" t="s">
        <v>488</v>
      </c>
      <c r="N593" t="s">
        <v>489</v>
      </c>
      <c r="O593" t="s">
        <v>490</v>
      </c>
      <c r="P593" t="s">
        <v>491</v>
      </c>
      <c r="Q593" t="s">
        <v>290</v>
      </c>
    </row>
    <row r="594" spans="2:17" customFormat="1" ht="15" hidden="1" x14ac:dyDescent="0.25">
      <c r="B594">
        <v>10346</v>
      </c>
      <c r="C594" t="s">
        <v>485</v>
      </c>
      <c r="D594" s="1">
        <v>35374</v>
      </c>
      <c r="E594" s="1" t="str">
        <f t="shared" si="27"/>
        <v>nov</v>
      </c>
      <c r="F594" s="1" t="str">
        <f t="shared" si="28"/>
        <v>1996</v>
      </c>
      <c r="G594" s="1">
        <v>35416</v>
      </c>
      <c r="H594" s="1">
        <v>35377</v>
      </c>
      <c r="I594">
        <v>3</v>
      </c>
      <c r="J594" t="str">
        <f t="shared" si="29"/>
        <v>DHL</v>
      </c>
      <c r="K594">
        <v>142.08000000000001</v>
      </c>
      <c r="L594" t="s">
        <v>26</v>
      </c>
      <c r="M594" t="s">
        <v>488</v>
      </c>
      <c r="N594" t="s">
        <v>489</v>
      </c>
      <c r="O594" t="s">
        <v>490</v>
      </c>
      <c r="P594" t="s">
        <v>491</v>
      </c>
      <c r="Q594" t="s">
        <v>290</v>
      </c>
    </row>
    <row r="595" spans="2:17" customFormat="1" ht="15" hidden="1" x14ac:dyDescent="0.25">
      <c r="B595">
        <v>10401</v>
      </c>
      <c r="C595" t="s">
        <v>485</v>
      </c>
      <c r="D595" s="1">
        <v>35431</v>
      </c>
      <c r="E595" s="1" t="str">
        <f t="shared" si="27"/>
        <v>jan</v>
      </c>
      <c r="F595" s="1" t="str">
        <f t="shared" si="28"/>
        <v>1997</v>
      </c>
      <c r="G595" s="1">
        <v>35459</v>
      </c>
      <c r="H595" s="1">
        <v>35440</v>
      </c>
      <c r="I595">
        <v>1</v>
      </c>
      <c r="J595" t="str">
        <f t="shared" si="29"/>
        <v>UPS</v>
      </c>
      <c r="K595">
        <v>12.51</v>
      </c>
      <c r="L595" t="s">
        <v>26</v>
      </c>
      <c r="M595" t="s">
        <v>488</v>
      </c>
      <c r="N595" t="s">
        <v>489</v>
      </c>
      <c r="O595" t="s">
        <v>490</v>
      </c>
      <c r="P595" t="s">
        <v>491</v>
      </c>
      <c r="Q595" t="s">
        <v>290</v>
      </c>
    </row>
    <row r="596" spans="2:17" customFormat="1" ht="15" hidden="1" x14ac:dyDescent="0.25">
      <c r="B596">
        <v>10479</v>
      </c>
      <c r="C596" t="s">
        <v>485</v>
      </c>
      <c r="D596" s="1">
        <v>35508</v>
      </c>
      <c r="E596" s="1" t="str">
        <f t="shared" si="27"/>
        <v>mar</v>
      </c>
      <c r="F596" s="1" t="str">
        <f t="shared" si="28"/>
        <v>1997</v>
      </c>
      <c r="G596" s="1">
        <v>35536</v>
      </c>
      <c r="H596" s="1">
        <v>35510</v>
      </c>
      <c r="I596">
        <v>3</v>
      </c>
      <c r="J596" t="str">
        <f t="shared" si="29"/>
        <v>DHL</v>
      </c>
      <c r="K596">
        <v>708.95</v>
      </c>
      <c r="L596" t="s">
        <v>26</v>
      </c>
      <c r="M596" t="s">
        <v>488</v>
      </c>
      <c r="N596" t="s">
        <v>489</v>
      </c>
      <c r="O596" t="s">
        <v>490</v>
      </c>
      <c r="P596" t="s">
        <v>491</v>
      </c>
      <c r="Q596" t="s">
        <v>290</v>
      </c>
    </row>
    <row r="597" spans="2:17" customFormat="1" ht="15" hidden="1" x14ac:dyDescent="0.25">
      <c r="B597">
        <v>10564</v>
      </c>
      <c r="C597" t="s">
        <v>485</v>
      </c>
      <c r="D597" s="1">
        <v>35591</v>
      </c>
      <c r="E597" s="1" t="str">
        <f t="shared" si="27"/>
        <v>jun</v>
      </c>
      <c r="F597" s="1" t="str">
        <f t="shared" si="28"/>
        <v>1997</v>
      </c>
      <c r="G597" s="1">
        <v>35619</v>
      </c>
      <c r="H597" s="1">
        <v>35597</v>
      </c>
      <c r="I597">
        <v>3</v>
      </c>
      <c r="J597" t="str">
        <f t="shared" si="29"/>
        <v>DHL</v>
      </c>
      <c r="K597">
        <v>13.75</v>
      </c>
      <c r="L597" t="s">
        <v>26</v>
      </c>
      <c r="M597" t="s">
        <v>488</v>
      </c>
      <c r="N597" t="s">
        <v>489</v>
      </c>
      <c r="O597" t="s">
        <v>490</v>
      </c>
      <c r="P597" t="s">
        <v>491</v>
      </c>
      <c r="Q597" t="s">
        <v>290</v>
      </c>
    </row>
    <row r="598" spans="2:17" customFormat="1" ht="15" hidden="1" x14ac:dyDescent="0.25">
      <c r="B598">
        <v>10569</v>
      </c>
      <c r="C598" t="s">
        <v>485</v>
      </c>
      <c r="D598" s="1">
        <v>35597</v>
      </c>
      <c r="E598" s="1" t="str">
        <f t="shared" si="27"/>
        <v>jun</v>
      </c>
      <c r="F598" s="1" t="str">
        <f t="shared" si="28"/>
        <v>1997</v>
      </c>
      <c r="G598" s="1">
        <v>35625</v>
      </c>
      <c r="H598" s="1">
        <v>35622</v>
      </c>
      <c r="I598">
        <v>1</v>
      </c>
      <c r="J598" t="str">
        <f t="shared" si="29"/>
        <v>UPS</v>
      </c>
      <c r="K598">
        <v>58.98</v>
      </c>
      <c r="L598" t="s">
        <v>26</v>
      </c>
      <c r="M598" t="s">
        <v>488</v>
      </c>
      <c r="N598" t="s">
        <v>489</v>
      </c>
      <c r="O598" t="s">
        <v>490</v>
      </c>
      <c r="P598" t="s">
        <v>491</v>
      </c>
      <c r="Q598" t="s">
        <v>290</v>
      </c>
    </row>
    <row r="599" spans="2:17" customFormat="1" ht="15" hidden="1" x14ac:dyDescent="0.25">
      <c r="B599">
        <v>10598</v>
      </c>
      <c r="C599" t="s">
        <v>485</v>
      </c>
      <c r="D599" s="1">
        <v>35625</v>
      </c>
      <c r="E599" s="1" t="str">
        <f t="shared" si="27"/>
        <v>jul</v>
      </c>
      <c r="F599" s="1" t="str">
        <f t="shared" si="28"/>
        <v>1997</v>
      </c>
      <c r="G599" s="1">
        <v>35653</v>
      </c>
      <c r="H599" s="1">
        <v>35629</v>
      </c>
      <c r="I599">
        <v>3</v>
      </c>
      <c r="J599" t="str">
        <f t="shared" si="29"/>
        <v>DHL</v>
      </c>
      <c r="K599">
        <v>44.42</v>
      </c>
      <c r="L599" t="s">
        <v>26</v>
      </c>
      <c r="M599" t="s">
        <v>488</v>
      </c>
      <c r="N599" t="s">
        <v>489</v>
      </c>
      <c r="O599" t="s">
        <v>490</v>
      </c>
      <c r="P599" t="s">
        <v>491</v>
      </c>
      <c r="Q599" t="s">
        <v>290</v>
      </c>
    </row>
    <row r="600" spans="2:17" customFormat="1" ht="15" hidden="1" x14ac:dyDescent="0.25">
      <c r="B600">
        <v>10761</v>
      </c>
      <c r="C600" t="s">
        <v>485</v>
      </c>
      <c r="D600" s="1">
        <v>35766</v>
      </c>
      <c r="E600" s="1" t="str">
        <f t="shared" si="27"/>
        <v>dez</v>
      </c>
      <c r="F600" s="1" t="str">
        <f t="shared" si="28"/>
        <v>1997</v>
      </c>
      <c r="G600" s="1">
        <v>35794</v>
      </c>
      <c r="H600" s="1">
        <v>35772</v>
      </c>
      <c r="I600">
        <v>2</v>
      </c>
      <c r="J600" t="str">
        <f t="shared" si="29"/>
        <v>USPS</v>
      </c>
      <c r="K600">
        <v>18.66</v>
      </c>
      <c r="L600" t="s">
        <v>26</v>
      </c>
      <c r="M600" t="s">
        <v>488</v>
      </c>
      <c r="N600" t="s">
        <v>489</v>
      </c>
      <c r="O600" t="s">
        <v>490</v>
      </c>
      <c r="P600" t="s">
        <v>491</v>
      </c>
      <c r="Q600" t="s">
        <v>290</v>
      </c>
    </row>
    <row r="601" spans="2:17" customFormat="1" ht="15" hidden="1" x14ac:dyDescent="0.25">
      <c r="B601">
        <v>10820</v>
      </c>
      <c r="C601" t="s">
        <v>485</v>
      </c>
      <c r="D601" s="1">
        <v>35802</v>
      </c>
      <c r="E601" s="1" t="str">
        <f t="shared" si="27"/>
        <v>jan</v>
      </c>
      <c r="F601" s="1" t="str">
        <f t="shared" si="28"/>
        <v>1998</v>
      </c>
      <c r="G601" s="1">
        <v>35830</v>
      </c>
      <c r="H601" s="1">
        <v>35808</v>
      </c>
      <c r="I601">
        <v>2</v>
      </c>
      <c r="J601" t="str">
        <f t="shared" si="29"/>
        <v>USPS</v>
      </c>
      <c r="K601">
        <v>37.520000000000003</v>
      </c>
      <c r="L601" t="s">
        <v>26</v>
      </c>
      <c r="M601" t="s">
        <v>488</v>
      </c>
      <c r="N601" t="s">
        <v>489</v>
      </c>
      <c r="O601" t="s">
        <v>490</v>
      </c>
      <c r="P601" t="s">
        <v>491</v>
      </c>
      <c r="Q601" t="s">
        <v>290</v>
      </c>
    </row>
    <row r="602" spans="2:17" customFormat="1" ht="15" hidden="1" x14ac:dyDescent="0.25">
      <c r="B602">
        <v>10852</v>
      </c>
      <c r="C602" t="s">
        <v>485</v>
      </c>
      <c r="D602" s="1">
        <v>35821</v>
      </c>
      <c r="E602" s="1" t="str">
        <f t="shared" si="27"/>
        <v>jan</v>
      </c>
      <c r="F602" s="1" t="str">
        <f t="shared" si="28"/>
        <v>1998</v>
      </c>
      <c r="G602" s="1">
        <v>35835</v>
      </c>
      <c r="H602" s="1">
        <v>35825</v>
      </c>
      <c r="I602">
        <v>1</v>
      </c>
      <c r="J602" t="str">
        <f t="shared" si="29"/>
        <v>UPS</v>
      </c>
      <c r="K602">
        <v>174.05</v>
      </c>
      <c r="L602" t="s">
        <v>26</v>
      </c>
      <c r="M602" t="s">
        <v>488</v>
      </c>
      <c r="N602" t="s">
        <v>489</v>
      </c>
      <c r="O602" t="s">
        <v>490</v>
      </c>
      <c r="P602" t="s">
        <v>491</v>
      </c>
      <c r="Q602" t="s">
        <v>290</v>
      </c>
    </row>
    <row r="603" spans="2:17" customFormat="1" ht="15" hidden="1" x14ac:dyDescent="0.25">
      <c r="B603">
        <v>10889</v>
      </c>
      <c r="C603" t="s">
        <v>485</v>
      </c>
      <c r="D603" s="1">
        <v>35842</v>
      </c>
      <c r="E603" s="1" t="str">
        <f t="shared" si="27"/>
        <v>fev</v>
      </c>
      <c r="F603" s="1" t="str">
        <f t="shared" si="28"/>
        <v>1998</v>
      </c>
      <c r="G603" s="1">
        <v>35870</v>
      </c>
      <c r="H603" s="1">
        <v>35849</v>
      </c>
      <c r="I603">
        <v>3</v>
      </c>
      <c r="J603" t="str">
        <f t="shared" si="29"/>
        <v>DHL</v>
      </c>
      <c r="K603">
        <v>280.61</v>
      </c>
      <c r="L603" t="s">
        <v>26</v>
      </c>
      <c r="M603" t="s">
        <v>488</v>
      </c>
      <c r="N603" t="s">
        <v>489</v>
      </c>
      <c r="O603" t="s">
        <v>490</v>
      </c>
      <c r="P603" t="s">
        <v>491</v>
      </c>
      <c r="Q603" t="s">
        <v>290</v>
      </c>
    </row>
    <row r="604" spans="2:17" customFormat="1" ht="15" hidden="1" x14ac:dyDescent="0.25">
      <c r="B604">
        <v>10988</v>
      </c>
      <c r="C604" t="s">
        <v>485</v>
      </c>
      <c r="D604" s="1">
        <v>35885</v>
      </c>
      <c r="E604" s="1" t="str">
        <f t="shared" si="27"/>
        <v>mar</v>
      </c>
      <c r="F604" s="1" t="str">
        <f t="shared" si="28"/>
        <v>1998</v>
      </c>
      <c r="G604" s="1">
        <v>35913</v>
      </c>
      <c r="H604" s="1">
        <v>35895</v>
      </c>
      <c r="I604">
        <v>2</v>
      </c>
      <c r="J604" t="str">
        <f t="shared" si="29"/>
        <v>USPS</v>
      </c>
      <c r="K604">
        <v>61.14</v>
      </c>
      <c r="L604" t="s">
        <v>26</v>
      </c>
      <c r="M604" t="s">
        <v>488</v>
      </c>
      <c r="N604" t="s">
        <v>489</v>
      </c>
      <c r="O604" t="s">
        <v>490</v>
      </c>
      <c r="P604" t="s">
        <v>491</v>
      </c>
      <c r="Q604" t="s">
        <v>290</v>
      </c>
    </row>
    <row r="605" spans="2:17" customFormat="1" ht="15" hidden="1" x14ac:dyDescent="0.25">
      <c r="B605">
        <v>11000</v>
      </c>
      <c r="C605" t="s">
        <v>485</v>
      </c>
      <c r="D605" s="1">
        <v>35891</v>
      </c>
      <c r="E605" s="1" t="str">
        <f t="shared" si="27"/>
        <v>abr</v>
      </c>
      <c r="F605" s="1" t="str">
        <f t="shared" si="28"/>
        <v>1998</v>
      </c>
      <c r="G605" s="1">
        <v>35919</v>
      </c>
      <c r="H605" s="1">
        <v>35899</v>
      </c>
      <c r="I605">
        <v>3</v>
      </c>
      <c r="J605" t="str">
        <f t="shared" si="29"/>
        <v>DHL</v>
      </c>
      <c r="K605">
        <v>55.12</v>
      </c>
      <c r="L605" t="s">
        <v>26</v>
      </c>
      <c r="M605" t="s">
        <v>488</v>
      </c>
      <c r="N605" t="s">
        <v>489</v>
      </c>
      <c r="O605" t="s">
        <v>490</v>
      </c>
      <c r="P605" t="s">
        <v>491</v>
      </c>
      <c r="Q605" t="s">
        <v>290</v>
      </c>
    </row>
    <row r="606" spans="2:17" customFormat="1" ht="15" hidden="1" x14ac:dyDescent="0.25">
      <c r="B606">
        <v>11077</v>
      </c>
      <c r="C606" t="s">
        <v>485</v>
      </c>
      <c r="D606" s="1">
        <v>35921</v>
      </c>
      <c r="E606" s="1" t="str">
        <f t="shared" si="27"/>
        <v>mai</v>
      </c>
      <c r="F606" s="1" t="str">
        <f t="shared" si="28"/>
        <v>1998</v>
      </c>
      <c r="G606" s="1">
        <v>35949</v>
      </c>
      <c r="H606" s="1"/>
      <c r="I606">
        <v>2</v>
      </c>
      <c r="J606" t="str">
        <f t="shared" si="29"/>
        <v>USPS</v>
      </c>
      <c r="K606">
        <v>8.5299999999999994</v>
      </c>
      <c r="L606" t="s">
        <v>26</v>
      </c>
      <c r="M606" t="s">
        <v>488</v>
      </c>
      <c r="N606" t="s">
        <v>489</v>
      </c>
      <c r="O606" t="s">
        <v>490</v>
      </c>
      <c r="P606" t="s">
        <v>491</v>
      </c>
      <c r="Q606" t="s">
        <v>290</v>
      </c>
    </row>
    <row r="607" spans="2:17" customFormat="1" ht="15" hidden="1" x14ac:dyDescent="0.25">
      <c r="B607">
        <v>10288</v>
      </c>
      <c r="C607" t="s">
        <v>493</v>
      </c>
      <c r="D607" s="1">
        <v>35300</v>
      </c>
      <c r="E607" s="1" t="str">
        <f t="shared" si="27"/>
        <v>ago</v>
      </c>
      <c r="F607" s="1" t="str">
        <f t="shared" si="28"/>
        <v>1996</v>
      </c>
      <c r="G607" s="1">
        <v>35328</v>
      </c>
      <c r="H607" s="1">
        <v>35311</v>
      </c>
      <c r="I607">
        <v>1</v>
      </c>
      <c r="J607" t="str">
        <f t="shared" si="29"/>
        <v>UPS</v>
      </c>
      <c r="K607">
        <v>7.45</v>
      </c>
      <c r="L607" t="s">
        <v>25</v>
      </c>
      <c r="M607" t="s">
        <v>495</v>
      </c>
      <c r="N607" t="s">
        <v>496</v>
      </c>
      <c r="P607" t="s">
        <v>497</v>
      </c>
      <c r="Q607" t="s">
        <v>258</v>
      </c>
    </row>
    <row r="608" spans="2:17" customFormat="1" ht="15" hidden="1" x14ac:dyDescent="0.25">
      <c r="B608">
        <v>10428</v>
      </c>
      <c r="C608" t="s">
        <v>493</v>
      </c>
      <c r="D608" s="1">
        <v>35458</v>
      </c>
      <c r="E608" s="1" t="str">
        <f t="shared" si="27"/>
        <v>jan</v>
      </c>
      <c r="F608" s="1" t="str">
        <f t="shared" si="28"/>
        <v>1997</v>
      </c>
      <c r="G608" s="1">
        <v>35486</v>
      </c>
      <c r="H608" s="1">
        <v>35465</v>
      </c>
      <c r="I608">
        <v>1</v>
      </c>
      <c r="J608" t="str">
        <f t="shared" si="29"/>
        <v>UPS</v>
      </c>
      <c r="K608">
        <v>11.09</v>
      </c>
      <c r="L608" t="s">
        <v>25</v>
      </c>
      <c r="M608" t="s">
        <v>495</v>
      </c>
      <c r="N608" t="s">
        <v>496</v>
      </c>
      <c r="P608" t="s">
        <v>497</v>
      </c>
      <c r="Q608" t="s">
        <v>258</v>
      </c>
    </row>
    <row r="609" spans="2:17" customFormat="1" ht="15" hidden="1" x14ac:dyDescent="0.25">
      <c r="B609">
        <v>10443</v>
      </c>
      <c r="C609" t="s">
        <v>493</v>
      </c>
      <c r="D609" s="1">
        <v>35473</v>
      </c>
      <c r="E609" s="1" t="str">
        <f t="shared" si="27"/>
        <v>fev</v>
      </c>
      <c r="F609" s="1" t="str">
        <f t="shared" si="28"/>
        <v>1997</v>
      </c>
      <c r="G609" s="1">
        <v>35501</v>
      </c>
      <c r="H609" s="1">
        <v>35475</v>
      </c>
      <c r="I609">
        <v>1</v>
      </c>
      <c r="J609" t="str">
        <f t="shared" si="29"/>
        <v>UPS</v>
      </c>
      <c r="K609">
        <v>13.95</v>
      </c>
      <c r="L609" t="s">
        <v>25</v>
      </c>
      <c r="M609" t="s">
        <v>495</v>
      </c>
      <c r="N609" t="s">
        <v>496</v>
      </c>
      <c r="P609" t="s">
        <v>497</v>
      </c>
      <c r="Q609" t="s">
        <v>258</v>
      </c>
    </row>
    <row r="610" spans="2:17" customFormat="1" ht="15" hidden="1" x14ac:dyDescent="0.25">
      <c r="B610">
        <v>10562</v>
      </c>
      <c r="C610" t="s">
        <v>493</v>
      </c>
      <c r="D610" s="1">
        <v>35590</v>
      </c>
      <c r="E610" s="1" t="str">
        <f t="shared" si="27"/>
        <v>jun</v>
      </c>
      <c r="F610" s="1" t="str">
        <f t="shared" si="28"/>
        <v>1997</v>
      </c>
      <c r="G610" s="1">
        <v>35618</v>
      </c>
      <c r="H610" s="1">
        <v>35593</v>
      </c>
      <c r="I610">
        <v>1</v>
      </c>
      <c r="J610" t="str">
        <f t="shared" si="29"/>
        <v>UPS</v>
      </c>
      <c r="K610">
        <v>22.95</v>
      </c>
      <c r="L610" t="s">
        <v>25</v>
      </c>
      <c r="M610" t="s">
        <v>495</v>
      </c>
      <c r="N610" t="s">
        <v>496</v>
      </c>
      <c r="P610" t="s">
        <v>497</v>
      </c>
      <c r="Q610" t="s">
        <v>258</v>
      </c>
    </row>
    <row r="611" spans="2:17" customFormat="1" ht="15" hidden="1" x14ac:dyDescent="0.25">
      <c r="B611">
        <v>10586</v>
      </c>
      <c r="C611" t="s">
        <v>493</v>
      </c>
      <c r="D611" s="1">
        <v>35613</v>
      </c>
      <c r="E611" s="1" t="str">
        <f t="shared" si="27"/>
        <v>jul</v>
      </c>
      <c r="F611" s="1" t="str">
        <f t="shared" si="28"/>
        <v>1997</v>
      </c>
      <c r="G611" s="1">
        <v>35641</v>
      </c>
      <c r="H611" s="1">
        <v>35620</v>
      </c>
      <c r="I611">
        <v>1</v>
      </c>
      <c r="J611" t="str">
        <f t="shared" si="29"/>
        <v>UPS</v>
      </c>
      <c r="K611">
        <v>0.48</v>
      </c>
      <c r="L611" t="s">
        <v>25</v>
      </c>
      <c r="M611" t="s">
        <v>495</v>
      </c>
      <c r="N611" t="s">
        <v>496</v>
      </c>
      <c r="P611" t="s">
        <v>497</v>
      </c>
      <c r="Q611" t="s">
        <v>258</v>
      </c>
    </row>
    <row r="612" spans="2:17" customFormat="1" ht="15" hidden="1" x14ac:dyDescent="0.25">
      <c r="B612">
        <v>10655</v>
      </c>
      <c r="C612" t="s">
        <v>493</v>
      </c>
      <c r="D612" s="1">
        <v>35676</v>
      </c>
      <c r="E612" s="1" t="str">
        <f t="shared" si="27"/>
        <v>set</v>
      </c>
      <c r="F612" s="1" t="str">
        <f t="shared" si="28"/>
        <v>1997</v>
      </c>
      <c r="G612" s="1">
        <v>35704</v>
      </c>
      <c r="H612" s="1">
        <v>35684</v>
      </c>
      <c r="I612">
        <v>2</v>
      </c>
      <c r="J612" t="str">
        <f t="shared" si="29"/>
        <v>USPS</v>
      </c>
      <c r="K612">
        <v>4.41</v>
      </c>
      <c r="L612" t="s">
        <v>25</v>
      </c>
      <c r="M612" t="s">
        <v>495</v>
      </c>
      <c r="N612" t="s">
        <v>496</v>
      </c>
      <c r="P612" t="s">
        <v>497</v>
      </c>
      <c r="Q612" t="s">
        <v>258</v>
      </c>
    </row>
    <row r="613" spans="2:17" customFormat="1" ht="15" hidden="1" x14ac:dyDescent="0.25">
      <c r="B613">
        <v>10727</v>
      </c>
      <c r="C613" t="s">
        <v>493</v>
      </c>
      <c r="D613" s="1">
        <v>35737</v>
      </c>
      <c r="E613" s="1" t="str">
        <f t="shared" si="27"/>
        <v>nov</v>
      </c>
      <c r="F613" s="1" t="str">
        <f t="shared" si="28"/>
        <v>1997</v>
      </c>
      <c r="G613" s="1">
        <v>35765</v>
      </c>
      <c r="H613" s="1">
        <v>35769</v>
      </c>
      <c r="I613">
        <v>1</v>
      </c>
      <c r="J613" t="str">
        <f t="shared" si="29"/>
        <v>UPS</v>
      </c>
      <c r="K613">
        <v>89.9</v>
      </c>
      <c r="L613" t="s">
        <v>25</v>
      </c>
      <c r="M613" t="s">
        <v>495</v>
      </c>
      <c r="N613" t="s">
        <v>496</v>
      </c>
      <c r="P613" t="s">
        <v>497</v>
      </c>
      <c r="Q613" t="s">
        <v>258</v>
      </c>
    </row>
    <row r="614" spans="2:17" customFormat="1" ht="15" hidden="1" x14ac:dyDescent="0.25">
      <c r="B614">
        <v>10812</v>
      </c>
      <c r="C614" t="s">
        <v>493</v>
      </c>
      <c r="D614" s="1">
        <v>35797</v>
      </c>
      <c r="E614" s="1" t="str">
        <f t="shared" si="27"/>
        <v>jan</v>
      </c>
      <c r="F614" s="1" t="str">
        <f t="shared" si="28"/>
        <v>1998</v>
      </c>
      <c r="G614" s="1">
        <v>35825</v>
      </c>
      <c r="H614" s="1">
        <v>35807</v>
      </c>
      <c r="I614">
        <v>1</v>
      </c>
      <c r="J614" t="str">
        <f t="shared" si="29"/>
        <v>UPS</v>
      </c>
      <c r="K614">
        <v>59.78</v>
      </c>
      <c r="L614" t="s">
        <v>25</v>
      </c>
      <c r="M614" t="s">
        <v>495</v>
      </c>
      <c r="N614" t="s">
        <v>496</v>
      </c>
      <c r="P614" t="s">
        <v>497</v>
      </c>
      <c r="Q614" t="s">
        <v>258</v>
      </c>
    </row>
    <row r="615" spans="2:17" customFormat="1" ht="15" hidden="1" x14ac:dyDescent="0.25">
      <c r="B615">
        <v>10908</v>
      </c>
      <c r="C615" t="s">
        <v>493</v>
      </c>
      <c r="D615" s="1">
        <v>35852</v>
      </c>
      <c r="E615" s="1" t="str">
        <f t="shared" si="27"/>
        <v>fev</v>
      </c>
      <c r="F615" s="1" t="str">
        <f t="shared" si="28"/>
        <v>1998</v>
      </c>
      <c r="G615" s="1">
        <v>35880</v>
      </c>
      <c r="H615" s="1">
        <v>35860</v>
      </c>
      <c r="I615">
        <v>2</v>
      </c>
      <c r="J615" t="str">
        <f t="shared" si="29"/>
        <v>USPS</v>
      </c>
      <c r="K615">
        <v>32.96</v>
      </c>
      <c r="L615" t="s">
        <v>25</v>
      </c>
      <c r="M615" t="s">
        <v>495</v>
      </c>
      <c r="N615" t="s">
        <v>496</v>
      </c>
      <c r="P615" t="s">
        <v>497</v>
      </c>
      <c r="Q615" t="s">
        <v>258</v>
      </c>
    </row>
    <row r="616" spans="2:17" customFormat="1" ht="15" hidden="1" x14ac:dyDescent="0.25">
      <c r="B616">
        <v>10942</v>
      </c>
      <c r="C616" t="s">
        <v>493</v>
      </c>
      <c r="D616" s="1">
        <v>35865</v>
      </c>
      <c r="E616" s="1" t="str">
        <f t="shared" si="27"/>
        <v>mar</v>
      </c>
      <c r="F616" s="1" t="str">
        <f t="shared" si="28"/>
        <v>1998</v>
      </c>
      <c r="G616" s="1">
        <v>35893</v>
      </c>
      <c r="H616" s="1">
        <v>35872</v>
      </c>
      <c r="I616">
        <v>3</v>
      </c>
      <c r="J616" t="str">
        <f t="shared" si="29"/>
        <v>DHL</v>
      </c>
      <c r="K616">
        <v>17.95</v>
      </c>
      <c r="L616" t="s">
        <v>25</v>
      </c>
      <c r="M616" t="s">
        <v>495</v>
      </c>
      <c r="N616" t="s">
        <v>496</v>
      </c>
      <c r="P616" t="s">
        <v>497</v>
      </c>
      <c r="Q616" t="s">
        <v>258</v>
      </c>
    </row>
    <row r="617" spans="2:17" customFormat="1" ht="15" hidden="1" x14ac:dyDescent="0.25">
      <c r="B617">
        <v>11010</v>
      </c>
      <c r="C617" t="s">
        <v>493</v>
      </c>
      <c r="D617" s="1">
        <v>35894</v>
      </c>
      <c r="E617" s="1" t="str">
        <f t="shared" si="27"/>
        <v>abr</v>
      </c>
      <c r="F617" s="1" t="str">
        <f t="shared" si="28"/>
        <v>1998</v>
      </c>
      <c r="G617" s="1">
        <v>35922</v>
      </c>
      <c r="H617" s="1">
        <v>35906</v>
      </c>
      <c r="I617">
        <v>2</v>
      </c>
      <c r="J617" t="str">
        <f t="shared" si="29"/>
        <v>USPS</v>
      </c>
      <c r="K617">
        <v>28.71</v>
      </c>
      <c r="L617" t="s">
        <v>25</v>
      </c>
      <c r="M617" t="s">
        <v>495</v>
      </c>
      <c r="N617" t="s">
        <v>496</v>
      </c>
      <c r="P617" t="s">
        <v>497</v>
      </c>
      <c r="Q617" t="s">
        <v>258</v>
      </c>
    </row>
    <row r="618" spans="2:17" customFormat="1" ht="15" hidden="1" x14ac:dyDescent="0.25">
      <c r="B618">
        <v>11062</v>
      </c>
      <c r="C618" t="s">
        <v>493</v>
      </c>
      <c r="D618" s="1">
        <v>35915</v>
      </c>
      <c r="E618" s="1" t="str">
        <f t="shared" si="27"/>
        <v>abr</v>
      </c>
      <c r="F618" s="1" t="str">
        <f t="shared" si="28"/>
        <v>1998</v>
      </c>
      <c r="G618" s="1">
        <v>35943</v>
      </c>
      <c r="H618" s="1"/>
      <c r="I618">
        <v>2</v>
      </c>
      <c r="J618" t="str">
        <f t="shared" si="29"/>
        <v>USPS</v>
      </c>
      <c r="K618">
        <v>29.93</v>
      </c>
      <c r="L618" t="s">
        <v>25</v>
      </c>
      <c r="M618" t="s">
        <v>495</v>
      </c>
      <c r="N618" t="s">
        <v>496</v>
      </c>
      <c r="P618" t="s">
        <v>497</v>
      </c>
      <c r="Q618" t="s">
        <v>258</v>
      </c>
    </row>
    <row r="619" spans="2:17" customFormat="1" ht="15" hidden="1" x14ac:dyDescent="0.25">
      <c r="B619">
        <v>10287</v>
      </c>
      <c r="C619" t="s">
        <v>499</v>
      </c>
      <c r="D619" s="1">
        <v>35299</v>
      </c>
      <c r="E619" s="1" t="str">
        <f t="shared" si="27"/>
        <v>ago</v>
      </c>
      <c r="F619" s="1" t="str">
        <f t="shared" si="28"/>
        <v>1996</v>
      </c>
      <c r="G619" s="1">
        <v>35327</v>
      </c>
      <c r="H619" s="1">
        <v>35305</v>
      </c>
      <c r="I619">
        <v>3</v>
      </c>
      <c r="J619" t="str">
        <f t="shared" si="29"/>
        <v>DHL</v>
      </c>
      <c r="K619">
        <v>12.76</v>
      </c>
      <c r="L619" t="s">
        <v>24</v>
      </c>
      <c r="M619" t="s">
        <v>501</v>
      </c>
      <c r="N619" t="s">
        <v>303</v>
      </c>
      <c r="O619" t="s">
        <v>304</v>
      </c>
      <c r="P619" t="s">
        <v>502</v>
      </c>
      <c r="Q619" t="s">
        <v>189</v>
      </c>
    </row>
    <row r="620" spans="2:17" customFormat="1" ht="15" hidden="1" x14ac:dyDescent="0.25">
      <c r="B620">
        <v>10299</v>
      </c>
      <c r="C620" t="s">
        <v>499</v>
      </c>
      <c r="D620" s="1">
        <v>35314</v>
      </c>
      <c r="E620" s="1" t="str">
        <f t="shared" si="27"/>
        <v>set</v>
      </c>
      <c r="F620" s="1" t="str">
        <f t="shared" si="28"/>
        <v>1996</v>
      </c>
      <c r="G620" s="1">
        <v>35342</v>
      </c>
      <c r="H620" s="1">
        <v>35321</v>
      </c>
      <c r="I620">
        <v>2</v>
      </c>
      <c r="J620" t="str">
        <f t="shared" si="29"/>
        <v>USPS</v>
      </c>
      <c r="K620">
        <v>29.76</v>
      </c>
      <c r="L620" t="s">
        <v>24</v>
      </c>
      <c r="M620" t="s">
        <v>501</v>
      </c>
      <c r="N620" t="s">
        <v>303</v>
      </c>
      <c r="O620" t="s">
        <v>304</v>
      </c>
      <c r="P620" t="s">
        <v>502</v>
      </c>
      <c r="Q620" t="s">
        <v>189</v>
      </c>
    </row>
    <row r="621" spans="2:17" customFormat="1" ht="15" hidden="1" x14ac:dyDescent="0.25">
      <c r="B621">
        <v>10447</v>
      </c>
      <c r="C621" t="s">
        <v>499</v>
      </c>
      <c r="D621" s="1">
        <v>35475</v>
      </c>
      <c r="E621" s="1" t="str">
        <f t="shared" si="27"/>
        <v>fev</v>
      </c>
      <c r="F621" s="1" t="str">
        <f t="shared" si="28"/>
        <v>1997</v>
      </c>
      <c r="G621" s="1">
        <v>35503</v>
      </c>
      <c r="H621" s="1">
        <v>35496</v>
      </c>
      <c r="I621">
        <v>2</v>
      </c>
      <c r="J621" t="str">
        <f t="shared" si="29"/>
        <v>USPS</v>
      </c>
      <c r="K621">
        <v>68.66</v>
      </c>
      <c r="L621" t="s">
        <v>24</v>
      </c>
      <c r="M621" t="s">
        <v>501</v>
      </c>
      <c r="N621" t="s">
        <v>303</v>
      </c>
      <c r="O621" t="s">
        <v>304</v>
      </c>
      <c r="P621" t="s">
        <v>502</v>
      </c>
      <c r="Q621" t="s">
        <v>189</v>
      </c>
    </row>
    <row r="622" spans="2:17" customFormat="1" ht="15" hidden="1" x14ac:dyDescent="0.25">
      <c r="B622">
        <v>10481</v>
      </c>
      <c r="C622" t="s">
        <v>499</v>
      </c>
      <c r="D622" s="1">
        <v>35509</v>
      </c>
      <c r="E622" s="1" t="str">
        <f t="shared" si="27"/>
        <v>mar</v>
      </c>
      <c r="F622" s="1" t="str">
        <f t="shared" si="28"/>
        <v>1997</v>
      </c>
      <c r="G622" s="1">
        <v>35537</v>
      </c>
      <c r="H622" s="1">
        <v>35514</v>
      </c>
      <c r="I622">
        <v>2</v>
      </c>
      <c r="J622" t="str">
        <f t="shared" si="29"/>
        <v>USPS</v>
      </c>
      <c r="K622">
        <v>64.33</v>
      </c>
      <c r="L622" t="s">
        <v>24</v>
      </c>
      <c r="M622" t="s">
        <v>501</v>
      </c>
      <c r="N622" t="s">
        <v>303</v>
      </c>
      <c r="O622" t="s">
        <v>304</v>
      </c>
      <c r="P622" t="s">
        <v>502</v>
      </c>
      <c r="Q622" t="s">
        <v>189</v>
      </c>
    </row>
    <row r="623" spans="2:17" customFormat="1" ht="15" hidden="1" x14ac:dyDescent="0.25">
      <c r="B623">
        <v>10563</v>
      </c>
      <c r="C623" t="s">
        <v>499</v>
      </c>
      <c r="D623" s="1">
        <v>35591</v>
      </c>
      <c r="E623" s="1" t="str">
        <f t="shared" si="27"/>
        <v>jun</v>
      </c>
      <c r="F623" s="1" t="str">
        <f t="shared" si="28"/>
        <v>1997</v>
      </c>
      <c r="G623" s="1">
        <v>35633</v>
      </c>
      <c r="H623" s="1">
        <v>35605</v>
      </c>
      <c r="I623">
        <v>2</v>
      </c>
      <c r="J623" t="str">
        <f t="shared" si="29"/>
        <v>USPS</v>
      </c>
      <c r="K623">
        <v>60.43</v>
      </c>
      <c r="L623" t="s">
        <v>24</v>
      </c>
      <c r="M623" t="s">
        <v>501</v>
      </c>
      <c r="N623" t="s">
        <v>303</v>
      </c>
      <c r="O623" t="s">
        <v>304</v>
      </c>
      <c r="P623" t="s">
        <v>502</v>
      </c>
      <c r="Q623" t="s">
        <v>189</v>
      </c>
    </row>
    <row r="624" spans="2:17" customFormat="1" ht="15" hidden="1" x14ac:dyDescent="0.25">
      <c r="B624">
        <v>10622</v>
      </c>
      <c r="C624" t="s">
        <v>499</v>
      </c>
      <c r="D624" s="1">
        <v>35648</v>
      </c>
      <c r="E624" s="1" t="str">
        <f t="shared" si="27"/>
        <v>ago</v>
      </c>
      <c r="F624" s="1" t="str">
        <f t="shared" si="28"/>
        <v>1997</v>
      </c>
      <c r="G624" s="1">
        <v>35676</v>
      </c>
      <c r="H624" s="1">
        <v>35653</v>
      </c>
      <c r="I624">
        <v>3</v>
      </c>
      <c r="J624" t="str">
        <f t="shared" si="29"/>
        <v>DHL</v>
      </c>
      <c r="K624">
        <v>50.97</v>
      </c>
      <c r="L624" t="s">
        <v>24</v>
      </c>
      <c r="M624" t="s">
        <v>501</v>
      </c>
      <c r="N624" t="s">
        <v>303</v>
      </c>
      <c r="O624" t="s">
        <v>304</v>
      </c>
      <c r="P624" t="s">
        <v>502</v>
      </c>
      <c r="Q624" t="s">
        <v>189</v>
      </c>
    </row>
    <row r="625" spans="2:17" customFormat="1" ht="15" hidden="1" x14ac:dyDescent="0.25">
      <c r="B625">
        <v>10648</v>
      </c>
      <c r="C625" t="s">
        <v>499</v>
      </c>
      <c r="D625" s="1">
        <v>35670</v>
      </c>
      <c r="E625" s="1" t="str">
        <f t="shared" si="27"/>
        <v>ago</v>
      </c>
      <c r="F625" s="1" t="str">
        <f t="shared" si="28"/>
        <v>1997</v>
      </c>
      <c r="G625" s="1">
        <v>35712</v>
      </c>
      <c r="H625" s="1">
        <v>35682</v>
      </c>
      <c r="I625">
        <v>2</v>
      </c>
      <c r="J625" t="str">
        <f t="shared" si="29"/>
        <v>USPS</v>
      </c>
      <c r="K625">
        <v>14.25</v>
      </c>
      <c r="L625" t="s">
        <v>24</v>
      </c>
      <c r="M625" t="s">
        <v>501</v>
      </c>
      <c r="N625" t="s">
        <v>303</v>
      </c>
      <c r="O625" t="s">
        <v>304</v>
      </c>
      <c r="P625" t="s">
        <v>502</v>
      </c>
      <c r="Q625" t="s">
        <v>189</v>
      </c>
    </row>
    <row r="626" spans="2:17" customFormat="1" ht="15" hidden="1" x14ac:dyDescent="0.25">
      <c r="B626">
        <v>10813</v>
      </c>
      <c r="C626" t="s">
        <v>499</v>
      </c>
      <c r="D626" s="1">
        <v>35800</v>
      </c>
      <c r="E626" s="1" t="str">
        <f t="shared" si="27"/>
        <v>jan</v>
      </c>
      <c r="F626" s="1" t="str">
        <f t="shared" si="28"/>
        <v>1998</v>
      </c>
      <c r="G626" s="1">
        <v>35828</v>
      </c>
      <c r="H626" s="1">
        <v>35804</v>
      </c>
      <c r="I626">
        <v>1</v>
      </c>
      <c r="J626" t="str">
        <f t="shared" si="29"/>
        <v>UPS</v>
      </c>
      <c r="K626">
        <v>47.38</v>
      </c>
      <c r="L626" t="s">
        <v>24</v>
      </c>
      <c r="M626" t="s">
        <v>501</v>
      </c>
      <c r="N626" t="s">
        <v>303</v>
      </c>
      <c r="O626" t="s">
        <v>304</v>
      </c>
      <c r="P626" t="s">
        <v>502</v>
      </c>
      <c r="Q626" t="s">
        <v>189</v>
      </c>
    </row>
    <row r="627" spans="2:17" customFormat="1" ht="15" hidden="1" x14ac:dyDescent="0.25">
      <c r="B627">
        <v>10851</v>
      </c>
      <c r="C627" t="s">
        <v>499</v>
      </c>
      <c r="D627" s="1">
        <v>35821</v>
      </c>
      <c r="E627" s="1" t="str">
        <f t="shared" si="27"/>
        <v>jan</v>
      </c>
      <c r="F627" s="1" t="str">
        <f t="shared" si="28"/>
        <v>1998</v>
      </c>
      <c r="G627" s="1">
        <v>35849</v>
      </c>
      <c r="H627" s="1">
        <v>35828</v>
      </c>
      <c r="I627">
        <v>1</v>
      </c>
      <c r="J627" t="str">
        <f t="shared" si="29"/>
        <v>UPS</v>
      </c>
      <c r="K627">
        <v>160.55000000000001</v>
      </c>
      <c r="L627" t="s">
        <v>24</v>
      </c>
      <c r="M627" t="s">
        <v>501</v>
      </c>
      <c r="N627" t="s">
        <v>303</v>
      </c>
      <c r="O627" t="s">
        <v>304</v>
      </c>
      <c r="P627" t="s">
        <v>502</v>
      </c>
      <c r="Q627" t="s">
        <v>189</v>
      </c>
    </row>
    <row r="628" spans="2:17" customFormat="1" ht="15" hidden="1" x14ac:dyDescent="0.25">
      <c r="B628">
        <v>10877</v>
      </c>
      <c r="C628" t="s">
        <v>499</v>
      </c>
      <c r="D628" s="1">
        <v>35835</v>
      </c>
      <c r="E628" s="1" t="str">
        <f t="shared" si="27"/>
        <v>fev</v>
      </c>
      <c r="F628" s="1" t="str">
        <f t="shared" si="28"/>
        <v>1998</v>
      </c>
      <c r="G628" s="1">
        <v>35863</v>
      </c>
      <c r="H628" s="1">
        <v>35845</v>
      </c>
      <c r="I628">
        <v>1</v>
      </c>
      <c r="J628" t="str">
        <f t="shared" si="29"/>
        <v>UPS</v>
      </c>
      <c r="K628">
        <v>38.06</v>
      </c>
      <c r="L628" t="s">
        <v>24</v>
      </c>
      <c r="M628" t="s">
        <v>501</v>
      </c>
      <c r="N628" t="s">
        <v>303</v>
      </c>
      <c r="O628" t="s">
        <v>304</v>
      </c>
      <c r="P628" t="s">
        <v>502</v>
      </c>
      <c r="Q628" t="s">
        <v>189</v>
      </c>
    </row>
    <row r="629" spans="2:17" customFormat="1" ht="15" hidden="1" x14ac:dyDescent="0.25">
      <c r="B629">
        <v>11059</v>
      </c>
      <c r="C629" t="s">
        <v>499</v>
      </c>
      <c r="D629" s="1">
        <v>35914</v>
      </c>
      <c r="E629" s="1" t="str">
        <f t="shared" si="27"/>
        <v>abr</v>
      </c>
      <c r="F629" s="1" t="str">
        <f t="shared" si="28"/>
        <v>1998</v>
      </c>
      <c r="G629" s="1">
        <v>35956</v>
      </c>
      <c r="H629" s="1"/>
      <c r="I629">
        <v>2</v>
      </c>
      <c r="J629" t="str">
        <f t="shared" si="29"/>
        <v>USPS</v>
      </c>
      <c r="K629">
        <v>85.8</v>
      </c>
      <c r="L629" t="s">
        <v>24</v>
      </c>
      <c r="M629" t="s">
        <v>501</v>
      </c>
      <c r="N629" t="s">
        <v>303</v>
      </c>
      <c r="O629" t="s">
        <v>304</v>
      </c>
      <c r="P629" t="s">
        <v>502</v>
      </c>
      <c r="Q629" t="s">
        <v>189</v>
      </c>
    </row>
    <row r="630" spans="2:17" customFormat="1" ht="15" hidden="1" x14ac:dyDescent="0.25">
      <c r="B630">
        <v>10255</v>
      </c>
      <c r="C630" t="s">
        <v>504</v>
      </c>
      <c r="D630" s="1">
        <v>35258</v>
      </c>
      <c r="E630" s="1" t="str">
        <f t="shared" si="27"/>
        <v>jul</v>
      </c>
      <c r="F630" s="1" t="str">
        <f t="shared" si="28"/>
        <v>1996</v>
      </c>
      <c r="G630" s="1">
        <v>35286</v>
      </c>
      <c r="H630" s="1">
        <v>35261</v>
      </c>
      <c r="I630">
        <v>3</v>
      </c>
      <c r="J630" t="str">
        <f t="shared" si="29"/>
        <v>DHL</v>
      </c>
      <c r="K630">
        <v>148.33000000000001</v>
      </c>
      <c r="L630" t="s">
        <v>23</v>
      </c>
      <c r="M630" t="s">
        <v>667</v>
      </c>
      <c r="N630" t="s">
        <v>507</v>
      </c>
      <c r="P630" t="s">
        <v>668</v>
      </c>
      <c r="Q630" t="s">
        <v>180</v>
      </c>
    </row>
    <row r="631" spans="2:17" customFormat="1" ht="15" hidden="1" x14ac:dyDescent="0.25">
      <c r="B631">
        <v>10419</v>
      </c>
      <c r="C631" t="s">
        <v>504</v>
      </c>
      <c r="D631" s="1">
        <v>35450</v>
      </c>
      <c r="E631" s="1" t="str">
        <f t="shared" si="27"/>
        <v>jan</v>
      </c>
      <c r="F631" s="1" t="str">
        <f t="shared" si="28"/>
        <v>1997</v>
      </c>
      <c r="G631" s="1">
        <v>35478</v>
      </c>
      <c r="H631" s="1">
        <v>35460</v>
      </c>
      <c r="I631">
        <v>2</v>
      </c>
      <c r="J631" t="str">
        <f t="shared" si="29"/>
        <v>USPS</v>
      </c>
      <c r="K631">
        <v>137.35</v>
      </c>
      <c r="L631" t="s">
        <v>23</v>
      </c>
      <c r="M631" t="s">
        <v>667</v>
      </c>
      <c r="N631" t="s">
        <v>507</v>
      </c>
      <c r="P631" t="s">
        <v>668</v>
      </c>
      <c r="Q631" t="s">
        <v>180</v>
      </c>
    </row>
    <row r="632" spans="2:17" customFormat="1" ht="15" hidden="1" x14ac:dyDescent="0.25">
      <c r="B632">
        <v>10537</v>
      </c>
      <c r="C632" t="s">
        <v>504</v>
      </c>
      <c r="D632" s="1">
        <v>35564</v>
      </c>
      <c r="E632" s="1" t="str">
        <f t="shared" si="27"/>
        <v>mai</v>
      </c>
      <c r="F632" s="1" t="str">
        <f t="shared" si="28"/>
        <v>1997</v>
      </c>
      <c r="G632" s="1">
        <v>35578</v>
      </c>
      <c r="H632" s="1">
        <v>35569</v>
      </c>
      <c r="I632">
        <v>1</v>
      </c>
      <c r="J632" t="str">
        <f t="shared" si="29"/>
        <v>UPS</v>
      </c>
      <c r="K632">
        <v>78.849999999999994</v>
      </c>
      <c r="L632" t="s">
        <v>23</v>
      </c>
      <c r="M632" t="s">
        <v>667</v>
      </c>
      <c r="N632" t="s">
        <v>507</v>
      </c>
      <c r="P632" t="s">
        <v>668</v>
      </c>
      <c r="Q632" t="s">
        <v>180</v>
      </c>
    </row>
    <row r="633" spans="2:17" customFormat="1" ht="15" hidden="1" x14ac:dyDescent="0.25">
      <c r="B633">
        <v>10666</v>
      </c>
      <c r="C633" t="s">
        <v>504</v>
      </c>
      <c r="D633" s="1">
        <v>35685</v>
      </c>
      <c r="E633" s="1" t="str">
        <f t="shared" si="27"/>
        <v>set</v>
      </c>
      <c r="F633" s="1" t="str">
        <f t="shared" si="28"/>
        <v>1997</v>
      </c>
      <c r="G633" s="1">
        <v>35713</v>
      </c>
      <c r="H633" s="1">
        <v>35695</v>
      </c>
      <c r="I633">
        <v>2</v>
      </c>
      <c r="J633" t="str">
        <f t="shared" si="29"/>
        <v>USPS</v>
      </c>
      <c r="K633">
        <v>232.42</v>
      </c>
      <c r="L633" t="s">
        <v>23</v>
      </c>
      <c r="M633" t="s">
        <v>667</v>
      </c>
      <c r="N633" t="s">
        <v>507</v>
      </c>
      <c r="P633" t="s">
        <v>668</v>
      </c>
      <c r="Q633" t="s">
        <v>180</v>
      </c>
    </row>
    <row r="634" spans="2:17" customFormat="1" ht="15" hidden="1" x14ac:dyDescent="0.25">
      <c r="B634">
        <v>10751</v>
      </c>
      <c r="C634" t="s">
        <v>504</v>
      </c>
      <c r="D634" s="1">
        <v>35758</v>
      </c>
      <c r="E634" s="1" t="str">
        <f t="shared" si="27"/>
        <v>nov</v>
      </c>
      <c r="F634" s="1" t="str">
        <f t="shared" si="28"/>
        <v>1997</v>
      </c>
      <c r="G634" s="1">
        <v>35786</v>
      </c>
      <c r="H634" s="1">
        <v>35767</v>
      </c>
      <c r="I634">
        <v>3</v>
      </c>
      <c r="J634" t="str">
        <f t="shared" si="29"/>
        <v>DHL</v>
      </c>
      <c r="K634">
        <v>130.79</v>
      </c>
      <c r="L634" t="s">
        <v>23</v>
      </c>
      <c r="M634" t="s">
        <v>667</v>
      </c>
      <c r="N634" t="s">
        <v>507</v>
      </c>
      <c r="P634" t="s">
        <v>668</v>
      </c>
      <c r="Q634" t="s">
        <v>180</v>
      </c>
    </row>
    <row r="635" spans="2:17" customFormat="1" ht="15" hidden="1" x14ac:dyDescent="0.25">
      <c r="B635">
        <v>10758</v>
      </c>
      <c r="C635" t="s">
        <v>504</v>
      </c>
      <c r="D635" s="1">
        <v>35762</v>
      </c>
      <c r="E635" s="1" t="str">
        <f t="shared" si="27"/>
        <v>nov</v>
      </c>
      <c r="F635" s="1" t="str">
        <f t="shared" si="28"/>
        <v>1997</v>
      </c>
      <c r="G635" s="1">
        <v>35790</v>
      </c>
      <c r="H635" s="1">
        <v>35768</v>
      </c>
      <c r="I635">
        <v>3</v>
      </c>
      <c r="J635" t="str">
        <f t="shared" si="29"/>
        <v>DHL</v>
      </c>
      <c r="K635">
        <v>138.16999999999999</v>
      </c>
      <c r="L635" t="s">
        <v>23</v>
      </c>
      <c r="M635" t="s">
        <v>667</v>
      </c>
      <c r="N635" t="s">
        <v>507</v>
      </c>
      <c r="P635" t="s">
        <v>668</v>
      </c>
      <c r="Q635" t="s">
        <v>180</v>
      </c>
    </row>
    <row r="636" spans="2:17" customFormat="1" ht="15" hidden="1" x14ac:dyDescent="0.25">
      <c r="B636">
        <v>10931</v>
      </c>
      <c r="C636" t="s">
        <v>504</v>
      </c>
      <c r="D636" s="1">
        <v>35860</v>
      </c>
      <c r="E636" s="1" t="str">
        <f t="shared" si="27"/>
        <v>mar</v>
      </c>
      <c r="F636" s="1" t="str">
        <f t="shared" si="28"/>
        <v>1998</v>
      </c>
      <c r="G636" s="1">
        <v>35874</v>
      </c>
      <c r="H636" s="1">
        <v>35873</v>
      </c>
      <c r="I636">
        <v>2</v>
      </c>
      <c r="J636" t="str">
        <f t="shared" si="29"/>
        <v>USPS</v>
      </c>
      <c r="K636">
        <v>13.6</v>
      </c>
      <c r="L636" t="s">
        <v>23</v>
      </c>
      <c r="M636" t="s">
        <v>667</v>
      </c>
      <c r="N636" t="s">
        <v>507</v>
      </c>
      <c r="P636" t="s">
        <v>668</v>
      </c>
      <c r="Q636" t="s">
        <v>180</v>
      </c>
    </row>
    <row r="637" spans="2:17" customFormat="1" ht="15" hidden="1" x14ac:dyDescent="0.25">
      <c r="B637">
        <v>10951</v>
      </c>
      <c r="C637" t="s">
        <v>504</v>
      </c>
      <c r="D637" s="1">
        <v>35870</v>
      </c>
      <c r="E637" s="1" t="str">
        <f t="shared" si="27"/>
        <v>mar</v>
      </c>
      <c r="F637" s="1" t="str">
        <f t="shared" si="28"/>
        <v>1998</v>
      </c>
      <c r="G637" s="1">
        <v>35912</v>
      </c>
      <c r="H637" s="1">
        <v>35892</v>
      </c>
      <c r="I637">
        <v>2</v>
      </c>
      <c r="J637" t="str">
        <f t="shared" si="29"/>
        <v>USPS</v>
      </c>
      <c r="K637">
        <v>30.85</v>
      </c>
      <c r="L637" t="s">
        <v>23</v>
      </c>
      <c r="M637" t="s">
        <v>667</v>
      </c>
      <c r="N637" t="s">
        <v>507</v>
      </c>
      <c r="P637" t="s">
        <v>668</v>
      </c>
      <c r="Q637" t="s">
        <v>180</v>
      </c>
    </row>
    <row r="638" spans="2:17" customFormat="1" ht="15" hidden="1" x14ac:dyDescent="0.25">
      <c r="B638">
        <v>11033</v>
      </c>
      <c r="C638" t="s">
        <v>504</v>
      </c>
      <c r="D638" s="1">
        <v>35902</v>
      </c>
      <c r="E638" s="1" t="str">
        <f t="shared" si="27"/>
        <v>abr</v>
      </c>
      <c r="F638" s="1" t="str">
        <f t="shared" si="28"/>
        <v>1998</v>
      </c>
      <c r="G638" s="1">
        <v>35930</v>
      </c>
      <c r="H638" s="1">
        <v>35908</v>
      </c>
      <c r="I638">
        <v>3</v>
      </c>
      <c r="J638" t="str">
        <f t="shared" si="29"/>
        <v>DHL</v>
      </c>
      <c r="K638">
        <v>84.74</v>
      </c>
      <c r="L638" t="s">
        <v>23</v>
      </c>
      <c r="M638" t="s">
        <v>667</v>
      </c>
      <c r="N638" t="s">
        <v>507</v>
      </c>
      <c r="P638" t="s">
        <v>668</v>
      </c>
      <c r="Q638" t="s">
        <v>180</v>
      </c>
    </row>
    <row r="639" spans="2:17" customFormat="1" ht="15" hidden="1" x14ac:dyDescent="0.25">
      <c r="B639">
        <v>11075</v>
      </c>
      <c r="C639" t="s">
        <v>504</v>
      </c>
      <c r="D639" s="1">
        <v>35921</v>
      </c>
      <c r="E639" s="1" t="str">
        <f t="shared" si="27"/>
        <v>mai</v>
      </c>
      <c r="F639" s="1" t="str">
        <f t="shared" si="28"/>
        <v>1998</v>
      </c>
      <c r="G639" s="1">
        <v>35949</v>
      </c>
      <c r="H639" s="1"/>
      <c r="I639">
        <v>2</v>
      </c>
      <c r="J639" t="str">
        <f t="shared" si="29"/>
        <v>USPS</v>
      </c>
      <c r="K639">
        <v>6.19</v>
      </c>
      <c r="L639" t="s">
        <v>23</v>
      </c>
      <c r="M639" t="s">
        <v>667</v>
      </c>
      <c r="N639" t="s">
        <v>507</v>
      </c>
      <c r="P639" t="s">
        <v>668</v>
      </c>
      <c r="Q639" t="s">
        <v>180</v>
      </c>
    </row>
    <row r="640" spans="2:17" customFormat="1" ht="15" hidden="1" x14ac:dyDescent="0.25">
      <c r="B640">
        <v>10281</v>
      </c>
      <c r="C640" t="s">
        <v>510</v>
      </c>
      <c r="D640" s="1">
        <v>35291</v>
      </c>
      <c r="E640" s="1" t="str">
        <f t="shared" si="27"/>
        <v>ago</v>
      </c>
      <c r="F640" s="1" t="str">
        <f t="shared" si="28"/>
        <v>1996</v>
      </c>
      <c r="G640" s="1">
        <v>35305</v>
      </c>
      <c r="H640" s="1">
        <v>35298</v>
      </c>
      <c r="I640">
        <v>1</v>
      </c>
      <c r="J640" t="str">
        <f t="shared" si="29"/>
        <v>UPS</v>
      </c>
      <c r="K640">
        <v>2.94</v>
      </c>
      <c r="L640" t="s">
        <v>22</v>
      </c>
      <c r="M640" t="s">
        <v>512</v>
      </c>
      <c r="N640" t="s">
        <v>139</v>
      </c>
      <c r="P640" t="s">
        <v>513</v>
      </c>
      <c r="Q640" t="s">
        <v>141</v>
      </c>
    </row>
    <row r="641" spans="2:17" customFormat="1" ht="15" hidden="1" x14ac:dyDescent="0.25">
      <c r="B641">
        <v>10282</v>
      </c>
      <c r="C641" t="s">
        <v>510</v>
      </c>
      <c r="D641" s="1">
        <v>35292</v>
      </c>
      <c r="E641" s="1" t="str">
        <f t="shared" si="27"/>
        <v>ago</v>
      </c>
      <c r="F641" s="1" t="str">
        <f t="shared" si="28"/>
        <v>1996</v>
      </c>
      <c r="G641" s="1">
        <v>35320</v>
      </c>
      <c r="H641" s="1">
        <v>35298</v>
      </c>
      <c r="I641">
        <v>1</v>
      </c>
      <c r="J641" t="str">
        <f t="shared" si="29"/>
        <v>UPS</v>
      </c>
      <c r="K641">
        <v>12.69</v>
      </c>
      <c r="L641" t="s">
        <v>22</v>
      </c>
      <c r="M641" t="s">
        <v>512</v>
      </c>
      <c r="N641" t="s">
        <v>139</v>
      </c>
      <c r="P641" t="s">
        <v>513</v>
      </c>
      <c r="Q641" t="s">
        <v>141</v>
      </c>
    </row>
    <row r="642" spans="2:17" customFormat="1" ht="15" hidden="1" x14ac:dyDescent="0.25">
      <c r="B642">
        <v>10306</v>
      </c>
      <c r="C642" t="s">
        <v>510</v>
      </c>
      <c r="D642" s="1">
        <v>35324</v>
      </c>
      <c r="E642" s="1" t="str">
        <f t="shared" si="27"/>
        <v>set</v>
      </c>
      <c r="F642" s="1" t="str">
        <f t="shared" si="28"/>
        <v>1996</v>
      </c>
      <c r="G642" s="1">
        <v>35352</v>
      </c>
      <c r="H642" s="1">
        <v>35331</v>
      </c>
      <c r="I642">
        <v>3</v>
      </c>
      <c r="J642" t="str">
        <f t="shared" si="29"/>
        <v>DHL</v>
      </c>
      <c r="K642">
        <v>7.56</v>
      </c>
      <c r="L642" t="s">
        <v>22</v>
      </c>
      <c r="M642" t="s">
        <v>512</v>
      </c>
      <c r="N642" t="s">
        <v>139</v>
      </c>
      <c r="P642" t="s">
        <v>513</v>
      </c>
      <c r="Q642" t="s">
        <v>141</v>
      </c>
    </row>
    <row r="643" spans="2:17" customFormat="1" ht="15" hidden="1" x14ac:dyDescent="0.25">
      <c r="B643">
        <v>10917</v>
      </c>
      <c r="C643" t="s">
        <v>510</v>
      </c>
      <c r="D643" s="1">
        <v>35856</v>
      </c>
      <c r="E643" s="1" t="str">
        <f t="shared" si="27"/>
        <v>mar</v>
      </c>
      <c r="F643" s="1" t="str">
        <f t="shared" si="28"/>
        <v>1998</v>
      </c>
      <c r="G643" s="1">
        <v>35884</v>
      </c>
      <c r="H643" s="1">
        <v>35865</v>
      </c>
      <c r="I643">
        <v>2</v>
      </c>
      <c r="J643" t="str">
        <f t="shared" si="29"/>
        <v>USPS</v>
      </c>
      <c r="K643">
        <v>8.2899999999999991</v>
      </c>
      <c r="L643" t="s">
        <v>22</v>
      </c>
      <c r="M643" t="s">
        <v>512</v>
      </c>
      <c r="N643" t="s">
        <v>139</v>
      </c>
      <c r="P643" t="s">
        <v>513</v>
      </c>
      <c r="Q643" t="s">
        <v>141</v>
      </c>
    </row>
    <row r="644" spans="2:17" customFormat="1" ht="15" hidden="1" x14ac:dyDescent="0.25">
      <c r="B644">
        <v>11013</v>
      </c>
      <c r="C644" t="s">
        <v>510</v>
      </c>
      <c r="D644" s="1">
        <v>35894</v>
      </c>
      <c r="E644" s="1" t="str">
        <f t="shared" si="27"/>
        <v>abr</v>
      </c>
      <c r="F644" s="1" t="str">
        <f t="shared" si="28"/>
        <v>1998</v>
      </c>
      <c r="G644" s="1">
        <v>35922</v>
      </c>
      <c r="H644" s="1">
        <v>35895</v>
      </c>
      <c r="I644">
        <v>1</v>
      </c>
      <c r="J644" t="str">
        <f t="shared" si="29"/>
        <v>UPS</v>
      </c>
      <c r="K644">
        <v>32.99</v>
      </c>
      <c r="L644" t="s">
        <v>22</v>
      </c>
      <c r="M644" t="s">
        <v>512</v>
      </c>
      <c r="N644" t="s">
        <v>139</v>
      </c>
      <c r="P644" t="s">
        <v>513</v>
      </c>
      <c r="Q644" t="s">
        <v>141</v>
      </c>
    </row>
    <row r="645" spans="2:17" customFormat="1" ht="15" hidden="1" x14ac:dyDescent="0.25">
      <c r="B645">
        <v>10387</v>
      </c>
      <c r="C645" t="s">
        <v>515</v>
      </c>
      <c r="D645" s="1">
        <v>35417</v>
      </c>
      <c r="E645" s="1" t="str">
        <f t="shared" si="27"/>
        <v>dez</v>
      </c>
      <c r="F645" s="1" t="str">
        <f t="shared" si="28"/>
        <v>1996</v>
      </c>
      <c r="G645" s="1">
        <v>35445</v>
      </c>
      <c r="H645" s="1">
        <v>35419</v>
      </c>
      <c r="I645">
        <v>2</v>
      </c>
      <c r="J645" t="str">
        <f t="shared" si="29"/>
        <v>USPS</v>
      </c>
      <c r="K645">
        <v>93.63</v>
      </c>
      <c r="L645" t="s">
        <v>21</v>
      </c>
      <c r="M645" t="s">
        <v>517</v>
      </c>
      <c r="N645" t="s">
        <v>518</v>
      </c>
      <c r="P645" t="s">
        <v>519</v>
      </c>
      <c r="Q645" t="s">
        <v>520</v>
      </c>
    </row>
    <row r="646" spans="2:17" customFormat="1" ht="15" hidden="1" x14ac:dyDescent="0.25">
      <c r="B646">
        <v>10520</v>
      </c>
      <c r="C646" t="s">
        <v>515</v>
      </c>
      <c r="D646" s="1">
        <v>35549</v>
      </c>
      <c r="E646" s="1" t="str">
        <f t="shared" si="27"/>
        <v>abr</v>
      </c>
      <c r="F646" s="1" t="str">
        <f t="shared" si="28"/>
        <v>1997</v>
      </c>
      <c r="G646" s="1">
        <v>35577</v>
      </c>
      <c r="H646" s="1">
        <v>35551</v>
      </c>
      <c r="I646">
        <v>1</v>
      </c>
      <c r="J646" t="str">
        <f t="shared" si="29"/>
        <v>UPS</v>
      </c>
      <c r="K646">
        <v>13.37</v>
      </c>
      <c r="L646" t="s">
        <v>21</v>
      </c>
      <c r="M646" t="s">
        <v>517</v>
      </c>
      <c r="N646" t="s">
        <v>518</v>
      </c>
      <c r="P646" t="s">
        <v>519</v>
      </c>
      <c r="Q646" t="s">
        <v>520</v>
      </c>
    </row>
    <row r="647" spans="2:17" customFormat="1" ht="15" hidden="1" x14ac:dyDescent="0.25">
      <c r="B647">
        <v>10639</v>
      </c>
      <c r="C647" t="s">
        <v>515</v>
      </c>
      <c r="D647" s="1">
        <v>35662</v>
      </c>
      <c r="E647" s="1" t="str">
        <f t="shared" si="27"/>
        <v>ago</v>
      </c>
      <c r="F647" s="1" t="str">
        <f t="shared" si="28"/>
        <v>1997</v>
      </c>
      <c r="G647" s="1">
        <v>35690</v>
      </c>
      <c r="H647" s="1">
        <v>35669</v>
      </c>
      <c r="I647">
        <v>3</v>
      </c>
      <c r="J647" t="str">
        <f t="shared" si="29"/>
        <v>DHL</v>
      </c>
      <c r="K647">
        <v>38.64</v>
      </c>
      <c r="L647" t="s">
        <v>21</v>
      </c>
      <c r="M647" t="s">
        <v>517</v>
      </c>
      <c r="N647" t="s">
        <v>518</v>
      </c>
      <c r="P647" t="s">
        <v>519</v>
      </c>
      <c r="Q647" t="s">
        <v>520</v>
      </c>
    </row>
    <row r="648" spans="2:17" customFormat="1" ht="15" hidden="1" x14ac:dyDescent="0.25">
      <c r="B648">
        <v>10831</v>
      </c>
      <c r="C648" t="s">
        <v>515</v>
      </c>
      <c r="D648" s="1">
        <v>35809</v>
      </c>
      <c r="E648" s="1" t="str">
        <f t="shared" si="27"/>
        <v>jan</v>
      </c>
      <c r="F648" s="1" t="str">
        <f t="shared" si="28"/>
        <v>1998</v>
      </c>
      <c r="G648" s="1">
        <v>35837</v>
      </c>
      <c r="H648" s="1">
        <v>35818</v>
      </c>
      <c r="I648">
        <v>2</v>
      </c>
      <c r="J648" t="str">
        <f t="shared" si="29"/>
        <v>USPS</v>
      </c>
      <c r="K648">
        <v>72.19</v>
      </c>
      <c r="L648" t="s">
        <v>21</v>
      </c>
      <c r="M648" t="s">
        <v>517</v>
      </c>
      <c r="N648" t="s">
        <v>518</v>
      </c>
      <c r="P648" t="s">
        <v>519</v>
      </c>
      <c r="Q648" t="s">
        <v>520</v>
      </c>
    </row>
    <row r="649" spans="2:17" customFormat="1" ht="15" hidden="1" x14ac:dyDescent="0.25">
      <c r="B649">
        <v>10909</v>
      </c>
      <c r="C649" t="s">
        <v>515</v>
      </c>
      <c r="D649" s="1">
        <v>35852</v>
      </c>
      <c r="E649" s="1" t="str">
        <f t="shared" si="27"/>
        <v>fev</v>
      </c>
      <c r="F649" s="1" t="str">
        <f t="shared" si="28"/>
        <v>1998</v>
      </c>
      <c r="G649" s="1">
        <v>35880</v>
      </c>
      <c r="H649" s="1">
        <v>35864</v>
      </c>
      <c r="I649">
        <v>2</v>
      </c>
      <c r="J649" t="str">
        <f t="shared" si="29"/>
        <v>USPS</v>
      </c>
      <c r="K649">
        <v>53.05</v>
      </c>
      <c r="L649" t="s">
        <v>21</v>
      </c>
      <c r="M649" t="s">
        <v>517</v>
      </c>
      <c r="N649" t="s">
        <v>518</v>
      </c>
      <c r="P649" t="s">
        <v>519</v>
      </c>
      <c r="Q649" t="s">
        <v>520</v>
      </c>
    </row>
    <row r="650" spans="2:17" customFormat="1" ht="15" hidden="1" x14ac:dyDescent="0.25">
      <c r="B650">
        <v>11015</v>
      </c>
      <c r="C650" t="s">
        <v>515</v>
      </c>
      <c r="D650" s="1">
        <v>35895</v>
      </c>
      <c r="E650" s="1" t="str">
        <f t="shared" si="27"/>
        <v>abr</v>
      </c>
      <c r="F650" s="1" t="str">
        <f t="shared" si="28"/>
        <v>1998</v>
      </c>
      <c r="G650" s="1">
        <v>35909</v>
      </c>
      <c r="H650" s="1">
        <v>35905</v>
      </c>
      <c r="I650">
        <v>2</v>
      </c>
      <c r="J650" t="str">
        <f t="shared" si="29"/>
        <v>USPS</v>
      </c>
      <c r="K650">
        <v>4.62</v>
      </c>
      <c r="L650" t="s">
        <v>21</v>
      </c>
      <c r="M650" t="s">
        <v>517</v>
      </c>
      <c r="N650" t="s">
        <v>518</v>
      </c>
      <c r="P650" t="s">
        <v>519</v>
      </c>
      <c r="Q650" t="s">
        <v>520</v>
      </c>
    </row>
    <row r="651" spans="2:17" hidden="1" x14ac:dyDescent="0.3">
      <c r="B651" s="3">
        <v>10324</v>
      </c>
      <c r="C651" s="3" t="s">
        <v>522</v>
      </c>
      <c r="D651" s="14">
        <v>35346</v>
      </c>
      <c r="E651" s="14" t="str">
        <f t="shared" si="27"/>
        <v>out</v>
      </c>
      <c r="F651" s="14" t="str">
        <f t="shared" si="28"/>
        <v>1996</v>
      </c>
      <c r="G651" s="14">
        <v>35374</v>
      </c>
      <c r="H651" s="14">
        <v>35348</v>
      </c>
      <c r="I651" s="3">
        <v>1</v>
      </c>
      <c r="J651" s="3" t="str">
        <f t="shared" si="29"/>
        <v>UPS</v>
      </c>
      <c r="K651" s="3">
        <v>214.27</v>
      </c>
      <c r="L651" s="3" t="s">
        <v>20</v>
      </c>
      <c r="M651" s="3" t="s">
        <v>524</v>
      </c>
      <c r="N651" s="3" t="s">
        <v>525</v>
      </c>
      <c r="O651" s="3" t="s">
        <v>526</v>
      </c>
      <c r="P651" s="3" t="s">
        <v>527</v>
      </c>
      <c r="Q651" s="3" t="s">
        <v>290</v>
      </c>
    </row>
    <row r="652" spans="2:17" hidden="1" x14ac:dyDescent="0.3">
      <c r="B652" s="3">
        <v>10393</v>
      </c>
      <c r="C652" s="3" t="s">
        <v>522</v>
      </c>
      <c r="D652" s="14">
        <v>35424</v>
      </c>
      <c r="E652" s="14" t="str">
        <f t="shared" si="27"/>
        <v>dez</v>
      </c>
      <c r="F652" s="14" t="str">
        <f t="shared" si="28"/>
        <v>1996</v>
      </c>
      <c r="G652" s="14">
        <v>35452</v>
      </c>
      <c r="H652" s="14">
        <v>35433</v>
      </c>
      <c r="I652" s="3">
        <v>3</v>
      </c>
      <c r="J652" s="3" t="str">
        <f t="shared" si="29"/>
        <v>DHL</v>
      </c>
      <c r="K652" s="3">
        <v>126.56</v>
      </c>
      <c r="L652" s="3" t="s">
        <v>20</v>
      </c>
      <c r="M652" s="3" t="s">
        <v>524</v>
      </c>
      <c r="N652" s="3" t="s">
        <v>525</v>
      </c>
      <c r="O652" s="3" t="s">
        <v>526</v>
      </c>
      <c r="P652" s="3" t="s">
        <v>527</v>
      </c>
      <c r="Q652" s="3" t="s">
        <v>290</v>
      </c>
    </row>
    <row r="653" spans="2:17" hidden="1" x14ac:dyDescent="0.3">
      <c r="B653" s="3">
        <v>10398</v>
      </c>
      <c r="C653" s="3" t="s">
        <v>522</v>
      </c>
      <c r="D653" s="14">
        <v>35429</v>
      </c>
      <c r="E653" s="14" t="str">
        <f t="shared" si="27"/>
        <v>dez</v>
      </c>
      <c r="F653" s="14" t="str">
        <f t="shared" si="28"/>
        <v>1996</v>
      </c>
      <c r="G653" s="14">
        <v>35457</v>
      </c>
      <c r="H653" s="14">
        <v>35439</v>
      </c>
      <c r="I653" s="3">
        <v>3</v>
      </c>
      <c r="J653" s="3" t="str">
        <f t="shared" si="29"/>
        <v>DHL</v>
      </c>
      <c r="K653" s="3">
        <v>89.16</v>
      </c>
      <c r="L653" s="3" t="s">
        <v>20</v>
      </c>
      <c r="M653" s="3" t="s">
        <v>524</v>
      </c>
      <c r="N653" s="3" t="s">
        <v>525</v>
      </c>
      <c r="O653" s="3" t="s">
        <v>526</v>
      </c>
      <c r="P653" s="3" t="s">
        <v>527</v>
      </c>
      <c r="Q653" s="3" t="s">
        <v>290</v>
      </c>
    </row>
    <row r="654" spans="2:17" hidden="1" x14ac:dyDescent="0.3">
      <c r="B654" s="3">
        <v>10440</v>
      </c>
      <c r="C654" s="3" t="s">
        <v>522</v>
      </c>
      <c r="D654" s="14">
        <v>35471</v>
      </c>
      <c r="E654" s="14" t="str">
        <f t="shared" ref="E654:E717" si="30">TEXT(D654,"mmm")</f>
        <v>fev</v>
      </c>
      <c r="F654" s="14" t="str">
        <f t="shared" ref="F654:F717" si="31">TEXT(D654,"aaa")</f>
        <v>1997</v>
      </c>
      <c r="G654" s="14">
        <v>35499</v>
      </c>
      <c r="H654" s="14">
        <v>35489</v>
      </c>
      <c r="I654" s="3">
        <v>2</v>
      </c>
      <c r="J654" s="3" t="str">
        <f t="shared" ref="J654:J717" si="32">CHOOSE(I654,"UPS","USPS","DHL")</f>
        <v>USPS</v>
      </c>
      <c r="K654" s="3">
        <v>86.53</v>
      </c>
      <c r="L654" s="3" t="s">
        <v>20</v>
      </c>
      <c r="M654" s="3" t="s">
        <v>524</v>
      </c>
      <c r="N654" s="3" t="s">
        <v>525</v>
      </c>
      <c r="O654" s="3" t="s">
        <v>526</v>
      </c>
      <c r="P654" s="3" t="s">
        <v>527</v>
      </c>
      <c r="Q654" s="3" t="s">
        <v>290</v>
      </c>
    </row>
    <row r="655" spans="2:17" hidden="1" x14ac:dyDescent="0.3">
      <c r="B655" s="3">
        <v>10452</v>
      </c>
      <c r="C655" s="3" t="s">
        <v>522</v>
      </c>
      <c r="D655" s="14">
        <v>35481</v>
      </c>
      <c r="E655" s="14" t="str">
        <f t="shared" si="30"/>
        <v>fev</v>
      </c>
      <c r="F655" s="14" t="str">
        <f t="shared" si="31"/>
        <v>1997</v>
      </c>
      <c r="G655" s="14">
        <v>35509</v>
      </c>
      <c r="H655" s="14">
        <v>35487</v>
      </c>
      <c r="I655" s="3">
        <v>1</v>
      </c>
      <c r="J655" s="3" t="str">
        <f t="shared" si="32"/>
        <v>UPS</v>
      </c>
      <c r="K655" s="3">
        <v>140.26</v>
      </c>
      <c r="L655" s="3" t="s">
        <v>20</v>
      </c>
      <c r="M655" s="3" t="s">
        <v>524</v>
      </c>
      <c r="N655" s="3" t="s">
        <v>525</v>
      </c>
      <c r="O655" s="3" t="s">
        <v>526</v>
      </c>
      <c r="P655" s="3" t="s">
        <v>527</v>
      </c>
      <c r="Q655" s="3" t="s">
        <v>290</v>
      </c>
    </row>
    <row r="656" spans="2:17" hidden="1" x14ac:dyDescent="0.3">
      <c r="B656" s="3">
        <v>10510</v>
      </c>
      <c r="C656" s="3" t="s">
        <v>522</v>
      </c>
      <c r="D656" s="14">
        <v>35538</v>
      </c>
      <c r="E656" s="14" t="str">
        <f t="shared" si="30"/>
        <v>abr</v>
      </c>
      <c r="F656" s="14" t="str">
        <f t="shared" si="31"/>
        <v>1997</v>
      </c>
      <c r="G656" s="14">
        <v>35566</v>
      </c>
      <c r="H656" s="14">
        <v>35548</v>
      </c>
      <c r="I656" s="3">
        <v>3</v>
      </c>
      <c r="J656" s="3" t="str">
        <f t="shared" si="32"/>
        <v>DHL</v>
      </c>
      <c r="K656" s="3">
        <v>367.63</v>
      </c>
      <c r="L656" s="3" t="s">
        <v>20</v>
      </c>
      <c r="M656" s="3" t="s">
        <v>524</v>
      </c>
      <c r="N656" s="3" t="s">
        <v>525</v>
      </c>
      <c r="O656" s="3" t="s">
        <v>526</v>
      </c>
      <c r="P656" s="3" t="s">
        <v>527</v>
      </c>
      <c r="Q656" s="3" t="s">
        <v>290</v>
      </c>
    </row>
    <row r="657" spans="2:17" hidden="1" x14ac:dyDescent="0.3">
      <c r="B657" s="3">
        <v>10555</v>
      </c>
      <c r="C657" s="3" t="s">
        <v>522</v>
      </c>
      <c r="D657" s="14">
        <v>35583</v>
      </c>
      <c r="E657" s="14" t="str">
        <f t="shared" si="30"/>
        <v>jun</v>
      </c>
      <c r="F657" s="14" t="str">
        <f t="shared" si="31"/>
        <v>1997</v>
      </c>
      <c r="G657" s="14">
        <v>35611</v>
      </c>
      <c r="H657" s="14">
        <v>35585</v>
      </c>
      <c r="I657" s="3">
        <v>3</v>
      </c>
      <c r="J657" s="3" t="str">
        <f t="shared" si="32"/>
        <v>DHL</v>
      </c>
      <c r="K657" s="3">
        <v>252.49</v>
      </c>
      <c r="L657" s="3" t="s">
        <v>20</v>
      </c>
      <c r="M657" s="3" t="s">
        <v>524</v>
      </c>
      <c r="N657" s="3" t="s">
        <v>525</v>
      </c>
      <c r="O657" s="3" t="s">
        <v>526</v>
      </c>
      <c r="P657" s="3" t="s">
        <v>527</v>
      </c>
      <c r="Q657" s="3" t="s">
        <v>290</v>
      </c>
    </row>
    <row r="658" spans="2:17" hidden="1" x14ac:dyDescent="0.3">
      <c r="B658" s="3">
        <v>10603</v>
      </c>
      <c r="C658" s="3" t="s">
        <v>522</v>
      </c>
      <c r="D658" s="14">
        <v>35629</v>
      </c>
      <c r="E658" s="14" t="str">
        <f t="shared" si="30"/>
        <v>jul</v>
      </c>
      <c r="F658" s="14" t="str">
        <f t="shared" si="31"/>
        <v>1997</v>
      </c>
      <c r="G658" s="14">
        <v>35657</v>
      </c>
      <c r="H658" s="14">
        <v>35650</v>
      </c>
      <c r="I658" s="3">
        <v>2</v>
      </c>
      <c r="J658" s="3" t="str">
        <f t="shared" si="32"/>
        <v>USPS</v>
      </c>
      <c r="K658" s="3">
        <v>48.77</v>
      </c>
      <c r="L658" s="3" t="s">
        <v>20</v>
      </c>
      <c r="M658" s="3" t="s">
        <v>524</v>
      </c>
      <c r="N658" s="3" t="s">
        <v>525</v>
      </c>
      <c r="O658" s="3" t="s">
        <v>526</v>
      </c>
      <c r="P658" s="3" t="s">
        <v>527</v>
      </c>
      <c r="Q658" s="3" t="s">
        <v>290</v>
      </c>
    </row>
    <row r="659" spans="2:17" hidden="1" x14ac:dyDescent="0.3">
      <c r="B659" s="3">
        <v>10607</v>
      </c>
      <c r="C659" s="3" t="s">
        <v>522</v>
      </c>
      <c r="D659" s="14">
        <v>35633</v>
      </c>
      <c r="E659" s="14" t="str">
        <f t="shared" si="30"/>
        <v>jul</v>
      </c>
      <c r="F659" s="14" t="str">
        <f t="shared" si="31"/>
        <v>1997</v>
      </c>
      <c r="G659" s="14">
        <v>35661</v>
      </c>
      <c r="H659" s="14">
        <v>35636</v>
      </c>
      <c r="I659" s="3">
        <v>1</v>
      </c>
      <c r="J659" s="3" t="str">
        <f t="shared" si="32"/>
        <v>UPS</v>
      </c>
      <c r="K659" s="3">
        <v>200.24</v>
      </c>
      <c r="L659" s="3" t="s">
        <v>20</v>
      </c>
      <c r="M659" s="3" t="s">
        <v>524</v>
      </c>
      <c r="N659" s="3" t="s">
        <v>525</v>
      </c>
      <c r="O659" s="3" t="s">
        <v>526</v>
      </c>
      <c r="P659" s="3" t="s">
        <v>527</v>
      </c>
      <c r="Q659" s="3" t="s">
        <v>290</v>
      </c>
    </row>
    <row r="660" spans="2:17" hidden="1" x14ac:dyDescent="0.3">
      <c r="B660" s="3">
        <v>10612</v>
      </c>
      <c r="C660" s="3" t="s">
        <v>522</v>
      </c>
      <c r="D660" s="14">
        <v>35639</v>
      </c>
      <c r="E660" s="14" t="str">
        <f t="shared" si="30"/>
        <v>jul</v>
      </c>
      <c r="F660" s="14" t="str">
        <f t="shared" si="31"/>
        <v>1997</v>
      </c>
      <c r="G660" s="14">
        <v>35667</v>
      </c>
      <c r="H660" s="14">
        <v>35643</v>
      </c>
      <c r="I660" s="3">
        <v>2</v>
      </c>
      <c r="J660" s="3" t="str">
        <f t="shared" si="32"/>
        <v>USPS</v>
      </c>
      <c r="K660" s="3">
        <v>544.08000000000004</v>
      </c>
      <c r="L660" s="3" t="s">
        <v>20</v>
      </c>
      <c r="M660" s="3" t="s">
        <v>524</v>
      </c>
      <c r="N660" s="3" t="s">
        <v>525</v>
      </c>
      <c r="O660" s="3" t="s">
        <v>526</v>
      </c>
      <c r="P660" s="3" t="s">
        <v>527</v>
      </c>
      <c r="Q660" s="3" t="s">
        <v>290</v>
      </c>
    </row>
    <row r="661" spans="2:17" hidden="1" x14ac:dyDescent="0.3">
      <c r="B661" s="3">
        <v>10627</v>
      </c>
      <c r="C661" s="3" t="s">
        <v>522</v>
      </c>
      <c r="D661" s="14">
        <v>35653</v>
      </c>
      <c r="E661" s="14" t="str">
        <f t="shared" si="30"/>
        <v>ago</v>
      </c>
      <c r="F661" s="14" t="str">
        <f t="shared" si="31"/>
        <v>1997</v>
      </c>
      <c r="G661" s="14">
        <v>35695</v>
      </c>
      <c r="H661" s="14">
        <v>35663</v>
      </c>
      <c r="I661" s="3">
        <v>3</v>
      </c>
      <c r="J661" s="3" t="str">
        <f t="shared" si="32"/>
        <v>DHL</v>
      </c>
      <c r="K661" s="3">
        <v>107.46</v>
      </c>
      <c r="L661" s="3" t="s">
        <v>20</v>
      </c>
      <c r="M661" s="3" t="s">
        <v>524</v>
      </c>
      <c r="N661" s="3" t="s">
        <v>525</v>
      </c>
      <c r="O661" s="3" t="s">
        <v>526</v>
      </c>
      <c r="P661" s="3" t="s">
        <v>527</v>
      </c>
      <c r="Q661" s="3" t="s">
        <v>290</v>
      </c>
    </row>
    <row r="662" spans="2:17" hidden="1" x14ac:dyDescent="0.3">
      <c r="B662" s="3">
        <v>10657</v>
      </c>
      <c r="C662" s="3" t="s">
        <v>522</v>
      </c>
      <c r="D662" s="14">
        <v>35677</v>
      </c>
      <c r="E662" s="14" t="str">
        <f t="shared" si="30"/>
        <v>set</v>
      </c>
      <c r="F662" s="14" t="str">
        <f t="shared" si="31"/>
        <v>1997</v>
      </c>
      <c r="G662" s="14">
        <v>35705</v>
      </c>
      <c r="H662" s="14">
        <v>35688</v>
      </c>
      <c r="I662" s="3">
        <v>2</v>
      </c>
      <c r="J662" s="3" t="str">
        <f t="shared" si="32"/>
        <v>USPS</v>
      </c>
      <c r="K662" s="3">
        <v>352.69</v>
      </c>
      <c r="L662" s="3" t="s">
        <v>20</v>
      </c>
      <c r="M662" s="3" t="s">
        <v>524</v>
      </c>
      <c r="N662" s="3" t="s">
        <v>525</v>
      </c>
      <c r="O662" s="3" t="s">
        <v>526</v>
      </c>
      <c r="P662" s="3" t="s">
        <v>527</v>
      </c>
      <c r="Q662" s="3" t="s">
        <v>290</v>
      </c>
    </row>
    <row r="663" spans="2:17" hidden="1" x14ac:dyDescent="0.3">
      <c r="B663" s="3">
        <v>10678</v>
      </c>
      <c r="C663" s="3" t="s">
        <v>522</v>
      </c>
      <c r="D663" s="14">
        <v>35696</v>
      </c>
      <c r="E663" s="14" t="str">
        <f t="shared" si="30"/>
        <v>set</v>
      </c>
      <c r="F663" s="14" t="str">
        <f t="shared" si="31"/>
        <v>1997</v>
      </c>
      <c r="G663" s="14">
        <v>35724</v>
      </c>
      <c r="H663" s="14">
        <v>35719</v>
      </c>
      <c r="I663" s="3">
        <v>3</v>
      </c>
      <c r="J663" s="3" t="str">
        <f t="shared" si="32"/>
        <v>DHL</v>
      </c>
      <c r="K663" s="3">
        <v>388.98</v>
      </c>
      <c r="L663" s="3" t="s">
        <v>20</v>
      </c>
      <c r="M663" s="3" t="s">
        <v>524</v>
      </c>
      <c r="N663" s="3" t="s">
        <v>525</v>
      </c>
      <c r="O663" s="3" t="s">
        <v>526</v>
      </c>
      <c r="P663" s="3" t="s">
        <v>527</v>
      </c>
      <c r="Q663" s="3" t="s">
        <v>290</v>
      </c>
    </row>
    <row r="664" spans="2:17" hidden="1" x14ac:dyDescent="0.3">
      <c r="B664" s="3">
        <v>10700</v>
      </c>
      <c r="C664" s="3" t="s">
        <v>522</v>
      </c>
      <c r="D664" s="14">
        <v>35713</v>
      </c>
      <c r="E664" s="14" t="str">
        <f t="shared" si="30"/>
        <v>out</v>
      </c>
      <c r="F664" s="14" t="str">
        <f t="shared" si="31"/>
        <v>1997</v>
      </c>
      <c r="G664" s="14">
        <v>35741</v>
      </c>
      <c r="H664" s="14">
        <v>35719</v>
      </c>
      <c r="I664" s="3">
        <v>1</v>
      </c>
      <c r="J664" s="3" t="str">
        <f t="shared" si="32"/>
        <v>UPS</v>
      </c>
      <c r="K664" s="3">
        <v>65.099999999999994</v>
      </c>
      <c r="L664" s="3" t="s">
        <v>20</v>
      </c>
      <c r="M664" s="3" t="s">
        <v>524</v>
      </c>
      <c r="N664" s="3" t="s">
        <v>525</v>
      </c>
      <c r="O664" s="3" t="s">
        <v>526</v>
      </c>
      <c r="P664" s="3" t="s">
        <v>527</v>
      </c>
      <c r="Q664" s="3" t="s">
        <v>290</v>
      </c>
    </row>
    <row r="665" spans="2:17" hidden="1" x14ac:dyDescent="0.3">
      <c r="B665" s="3">
        <v>10711</v>
      </c>
      <c r="C665" s="3" t="s">
        <v>522</v>
      </c>
      <c r="D665" s="14">
        <v>35724</v>
      </c>
      <c r="E665" s="14" t="str">
        <f t="shared" si="30"/>
        <v>out</v>
      </c>
      <c r="F665" s="14" t="str">
        <f t="shared" si="31"/>
        <v>1997</v>
      </c>
      <c r="G665" s="14">
        <v>35766</v>
      </c>
      <c r="H665" s="14">
        <v>35732</v>
      </c>
      <c r="I665" s="3">
        <v>2</v>
      </c>
      <c r="J665" s="3" t="str">
        <f t="shared" si="32"/>
        <v>USPS</v>
      </c>
      <c r="K665" s="3">
        <v>52.41</v>
      </c>
      <c r="L665" s="3" t="s">
        <v>20</v>
      </c>
      <c r="M665" s="3" t="s">
        <v>524</v>
      </c>
      <c r="N665" s="3" t="s">
        <v>525</v>
      </c>
      <c r="O665" s="3" t="s">
        <v>526</v>
      </c>
      <c r="P665" s="3" t="s">
        <v>527</v>
      </c>
      <c r="Q665" s="3" t="s">
        <v>290</v>
      </c>
    </row>
    <row r="666" spans="2:17" hidden="1" x14ac:dyDescent="0.3">
      <c r="B666" s="3">
        <v>10713</v>
      </c>
      <c r="C666" s="3" t="s">
        <v>522</v>
      </c>
      <c r="D666" s="14">
        <v>35725</v>
      </c>
      <c r="E666" s="14" t="str">
        <f t="shared" si="30"/>
        <v>out</v>
      </c>
      <c r="F666" s="14" t="str">
        <f t="shared" si="31"/>
        <v>1997</v>
      </c>
      <c r="G666" s="14">
        <v>35753</v>
      </c>
      <c r="H666" s="14">
        <v>35727</v>
      </c>
      <c r="I666" s="3">
        <v>1</v>
      </c>
      <c r="J666" s="3" t="str">
        <f t="shared" si="32"/>
        <v>UPS</v>
      </c>
      <c r="K666" s="3">
        <v>167.05</v>
      </c>
      <c r="L666" s="3" t="s">
        <v>20</v>
      </c>
      <c r="M666" s="3" t="s">
        <v>524</v>
      </c>
      <c r="N666" s="3" t="s">
        <v>525</v>
      </c>
      <c r="O666" s="3" t="s">
        <v>526</v>
      </c>
      <c r="P666" s="3" t="s">
        <v>527</v>
      </c>
      <c r="Q666" s="3" t="s">
        <v>290</v>
      </c>
    </row>
    <row r="667" spans="2:17" hidden="1" x14ac:dyDescent="0.3">
      <c r="B667" s="3">
        <v>10714</v>
      </c>
      <c r="C667" s="3" t="s">
        <v>522</v>
      </c>
      <c r="D667" s="14">
        <v>35725</v>
      </c>
      <c r="E667" s="14" t="str">
        <f t="shared" si="30"/>
        <v>out</v>
      </c>
      <c r="F667" s="14" t="str">
        <f t="shared" si="31"/>
        <v>1997</v>
      </c>
      <c r="G667" s="14">
        <v>35753</v>
      </c>
      <c r="H667" s="14">
        <v>35730</v>
      </c>
      <c r="I667" s="3">
        <v>3</v>
      </c>
      <c r="J667" s="3" t="str">
        <f t="shared" si="32"/>
        <v>DHL</v>
      </c>
      <c r="K667" s="3">
        <v>24.49</v>
      </c>
      <c r="L667" s="3" t="s">
        <v>20</v>
      </c>
      <c r="M667" s="3" t="s">
        <v>524</v>
      </c>
      <c r="N667" s="3" t="s">
        <v>525</v>
      </c>
      <c r="O667" s="3" t="s">
        <v>526</v>
      </c>
      <c r="P667" s="3" t="s">
        <v>527</v>
      </c>
      <c r="Q667" s="3" t="s">
        <v>290</v>
      </c>
    </row>
    <row r="668" spans="2:17" hidden="1" x14ac:dyDescent="0.3">
      <c r="B668" s="3">
        <v>10722</v>
      </c>
      <c r="C668" s="3" t="s">
        <v>522</v>
      </c>
      <c r="D668" s="14">
        <v>35732</v>
      </c>
      <c r="E668" s="14" t="str">
        <f t="shared" si="30"/>
        <v>out</v>
      </c>
      <c r="F668" s="14" t="str">
        <f t="shared" si="31"/>
        <v>1997</v>
      </c>
      <c r="G668" s="14">
        <v>35774</v>
      </c>
      <c r="H668" s="14">
        <v>35738</v>
      </c>
      <c r="I668" s="3">
        <v>1</v>
      </c>
      <c r="J668" s="3" t="str">
        <f t="shared" si="32"/>
        <v>UPS</v>
      </c>
      <c r="K668" s="3">
        <v>74.58</v>
      </c>
      <c r="L668" s="3" t="s">
        <v>20</v>
      </c>
      <c r="M668" s="3" t="s">
        <v>524</v>
      </c>
      <c r="N668" s="3" t="s">
        <v>525</v>
      </c>
      <c r="O668" s="3" t="s">
        <v>526</v>
      </c>
      <c r="P668" s="3" t="s">
        <v>527</v>
      </c>
      <c r="Q668" s="3" t="s">
        <v>290</v>
      </c>
    </row>
    <row r="669" spans="2:17" hidden="1" x14ac:dyDescent="0.3">
      <c r="B669" s="3">
        <v>10748</v>
      </c>
      <c r="C669" s="3" t="s">
        <v>522</v>
      </c>
      <c r="D669" s="14">
        <v>35754</v>
      </c>
      <c r="E669" s="14" t="str">
        <f t="shared" si="30"/>
        <v>nov</v>
      </c>
      <c r="F669" s="14" t="str">
        <f t="shared" si="31"/>
        <v>1997</v>
      </c>
      <c r="G669" s="14">
        <v>35782</v>
      </c>
      <c r="H669" s="14">
        <v>35762</v>
      </c>
      <c r="I669" s="3">
        <v>1</v>
      </c>
      <c r="J669" s="3" t="str">
        <f t="shared" si="32"/>
        <v>UPS</v>
      </c>
      <c r="K669" s="3">
        <v>232.55</v>
      </c>
      <c r="L669" s="3" t="s">
        <v>20</v>
      </c>
      <c r="M669" s="3" t="s">
        <v>524</v>
      </c>
      <c r="N669" s="3" t="s">
        <v>525</v>
      </c>
      <c r="O669" s="3" t="s">
        <v>526</v>
      </c>
      <c r="P669" s="3" t="s">
        <v>527</v>
      </c>
      <c r="Q669" s="3" t="s">
        <v>290</v>
      </c>
    </row>
    <row r="670" spans="2:17" hidden="1" x14ac:dyDescent="0.3">
      <c r="B670" s="3">
        <v>10757</v>
      </c>
      <c r="C670" s="3" t="s">
        <v>522</v>
      </c>
      <c r="D670" s="14">
        <v>35761</v>
      </c>
      <c r="E670" s="14" t="str">
        <f t="shared" si="30"/>
        <v>nov</v>
      </c>
      <c r="F670" s="14" t="str">
        <f t="shared" si="31"/>
        <v>1997</v>
      </c>
      <c r="G670" s="14">
        <v>35789</v>
      </c>
      <c r="H670" s="14">
        <v>35779</v>
      </c>
      <c r="I670" s="3">
        <v>1</v>
      </c>
      <c r="J670" s="3" t="str">
        <f t="shared" si="32"/>
        <v>UPS</v>
      </c>
      <c r="K670" s="3">
        <v>8.19</v>
      </c>
      <c r="L670" s="3" t="s">
        <v>20</v>
      </c>
      <c r="M670" s="3" t="s">
        <v>524</v>
      </c>
      <c r="N670" s="3" t="s">
        <v>525</v>
      </c>
      <c r="O670" s="3" t="s">
        <v>526</v>
      </c>
      <c r="P670" s="3" t="s">
        <v>527</v>
      </c>
      <c r="Q670" s="3" t="s">
        <v>290</v>
      </c>
    </row>
    <row r="671" spans="2:17" hidden="1" x14ac:dyDescent="0.3">
      <c r="B671" s="3">
        <v>10815</v>
      </c>
      <c r="C671" s="3" t="s">
        <v>522</v>
      </c>
      <c r="D671" s="14">
        <v>35800</v>
      </c>
      <c r="E671" s="14" t="str">
        <f t="shared" si="30"/>
        <v>jan</v>
      </c>
      <c r="F671" s="14" t="str">
        <f t="shared" si="31"/>
        <v>1998</v>
      </c>
      <c r="G671" s="14">
        <v>35828</v>
      </c>
      <c r="H671" s="14">
        <v>35809</v>
      </c>
      <c r="I671" s="3">
        <v>3</v>
      </c>
      <c r="J671" s="3" t="str">
        <f t="shared" si="32"/>
        <v>DHL</v>
      </c>
      <c r="K671" s="3">
        <v>14.62</v>
      </c>
      <c r="L671" s="3" t="s">
        <v>20</v>
      </c>
      <c r="M671" s="3" t="s">
        <v>524</v>
      </c>
      <c r="N671" s="3" t="s">
        <v>525</v>
      </c>
      <c r="O671" s="3" t="s">
        <v>526</v>
      </c>
      <c r="P671" s="3" t="s">
        <v>527</v>
      </c>
      <c r="Q671" s="3" t="s">
        <v>290</v>
      </c>
    </row>
    <row r="672" spans="2:17" hidden="1" x14ac:dyDescent="0.3">
      <c r="B672" s="3">
        <v>10847</v>
      </c>
      <c r="C672" s="3" t="s">
        <v>522</v>
      </c>
      <c r="D672" s="14">
        <v>35817</v>
      </c>
      <c r="E672" s="14" t="str">
        <f t="shared" si="30"/>
        <v>jan</v>
      </c>
      <c r="F672" s="14" t="str">
        <f t="shared" si="31"/>
        <v>1998</v>
      </c>
      <c r="G672" s="14">
        <v>35831</v>
      </c>
      <c r="H672" s="14">
        <v>35836</v>
      </c>
      <c r="I672" s="3">
        <v>3</v>
      </c>
      <c r="J672" s="3" t="str">
        <f t="shared" si="32"/>
        <v>DHL</v>
      </c>
      <c r="K672" s="3">
        <v>487.57</v>
      </c>
      <c r="L672" s="3" t="s">
        <v>20</v>
      </c>
      <c r="M672" s="3" t="s">
        <v>524</v>
      </c>
      <c r="N672" s="3" t="s">
        <v>525</v>
      </c>
      <c r="O672" s="3" t="s">
        <v>526</v>
      </c>
      <c r="P672" s="3" t="s">
        <v>527</v>
      </c>
      <c r="Q672" s="3" t="s">
        <v>290</v>
      </c>
    </row>
    <row r="673" spans="2:17" hidden="1" x14ac:dyDescent="0.3">
      <c r="B673" s="3">
        <v>10882</v>
      </c>
      <c r="C673" s="3" t="s">
        <v>522</v>
      </c>
      <c r="D673" s="14">
        <v>35837</v>
      </c>
      <c r="E673" s="14" t="str">
        <f t="shared" si="30"/>
        <v>fev</v>
      </c>
      <c r="F673" s="14" t="str">
        <f t="shared" si="31"/>
        <v>1998</v>
      </c>
      <c r="G673" s="14">
        <v>35865</v>
      </c>
      <c r="H673" s="14">
        <v>35846</v>
      </c>
      <c r="I673" s="3">
        <v>3</v>
      </c>
      <c r="J673" s="3" t="str">
        <f t="shared" si="32"/>
        <v>DHL</v>
      </c>
      <c r="K673" s="3">
        <v>23.1</v>
      </c>
      <c r="L673" s="3" t="s">
        <v>20</v>
      </c>
      <c r="M673" s="3" t="s">
        <v>524</v>
      </c>
      <c r="N673" s="3" t="s">
        <v>525</v>
      </c>
      <c r="O673" s="3" t="s">
        <v>526</v>
      </c>
      <c r="P673" s="3" t="s">
        <v>527</v>
      </c>
      <c r="Q673" s="3" t="s">
        <v>290</v>
      </c>
    </row>
    <row r="674" spans="2:17" hidden="1" x14ac:dyDescent="0.3">
      <c r="B674" s="3">
        <v>10894</v>
      </c>
      <c r="C674" s="3" t="s">
        <v>522</v>
      </c>
      <c r="D674" s="14">
        <v>35844</v>
      </c>
      <c r="E674" s="14" t="str">
        <f t="shared" si="30"/>
        <v>fev</v>
      </c>
      <c r="F674" s="14" t="str">
        <f t="shared" si="31"/>
        <v>1998</v>
      </c>
      <c r="G674" s="14">
        <v>35872</v>
      </c>
      <c r="H674" s="14">
        <v>35846</v>
      </c>
      <c r="I674" s="3">
        <v>1</v>
      </c>
      <c r="J674" s="3" t="str">
        <f t="shared" si="32"/>
        <v>UPS</v>
      </c>
      <c r="K674" s="3">
        <v>116.13</v>
      </c>
      <c r="L674" s="3" t="s">
        <v>20</v>
      </c>
      <c r="M674" s="3" t="s">
        <v>524</v>
      </c>
      <c r="N674" s="3" t="s">
        <v>525</v>
      </c>
      <c r="O674" s="3" t="s">
        <v>526</v>
      </c>
      <c r="P674" s="3" t="s">
        <v>527</v>
      </c>
      <c r="Q674" s="3" t="s">
        <v>290</v>
      </c>
    </row>
    <row r="675" spans="2:17" hidden="1" x14ac:dyDescent="0.3">
      <c r="B675" s="3">
        <v>10941</v>
      </c>
      <c r="C675" s="3" t="s">
        <v>522</v>
      </c>
      <c r="D675" s="14">
        <v>35865</v>
      </c>
      <c r="E675" s="14" t="str">
        <f t="shared" si="30"/>
        <v>mar</v>
      </c>
      <c r="F675" s="14" t="str">
        <f t="shared" si="31"/>
        <v>1998</v>
      </c>
      <c r="G675" s="14">
        <v>35893</v>
      </c>
      <c r="H675" s="14">
        <v>35874</v>
      </c>
      <c r="I675" s="3">
        <v>2</v>
      </c>
      <c r="J675" s="3" t="str">
        <f t="shared" si="32"/>
        <v>USPS</v>
      </c>
      <c r="K675" s="3">
        <v>400.81</v>
      </c>
      <c r="L675" s="3" t="s">
        <v>20</v>
      </c>
      <c r="M675" s="3" t="s">
        <v>524</v>
      </c>
      <c r="N675" s="3" t="s">
        <v>525</v>
      </c>
      <c r="O675" s="3" t="s">
        <v>526</v>
      </c>
      <c r="P675" s="3" t="s">
        <v>527</v>
      </c>
      <c r="Q675" s="3" t="s">
        <v>290</v>
      </c>
    </row>
    <row r="676" spans="2:17" hidden="1" x14ac:dyDescent="0.3">
      <c r="B676" s="3">
        <v>10983</v>
      </c>
      <c r="C676" s="3" t="s">
        <v>522</v>
      </c>
      <c r="D676" s="14">
        <v>35881</v>
      </c>
      <c r="E676" s="14" t="str">
        <f t="shared" si="30"/>
        <v>mar</v>
      </c>
      <c r="F676" s="14" t="str">
        <f t="shared" si="31"/>
        <v>1998</v>
      </c>
      <c r="G676" s="14">
        <v>35909</v>
      </c>
      <c r="H676" s="14">
        <v>35891</v>
      </c>
      <c r="I676" s="3">
        <v>2</v>
      </c>
      <c r="J676" s="3" t="str">
        <f t="shared" si="32"/>
        <v>USPS</v>
      </c>
      <c r="K676" s="3">
        <v>657.54</v>
      </c>
      <c r="L676" s="3" t="s">
        <v>20</v>
      </c>
      <c r="M676" s="3" t="s">
        <v>524</v>
      </c>
      <c r="N676" s="3" t="s">
        <v>525</v>
      </c>
      <c r="O676" s="3" t="s">
        <v>526</v>
      </c>
      <c r="P676" s="3" t="s">
        <v>527</v>
      </c>
      <c r="Q676" s="3" t="s">
        <v>290</v>
      </c>
    </row>
    <row r="677" spans="2:17" hidden="1" x14ac:dyDescent="0.3">
      <c r="B677" s="3">
        <v>10984</v>
      </c>
      <c r="C677" s="3" t="s">
        <v>522</v>
      </c>
      <c r="D677" s="14">
        <v>35884</v>
      </c>
      <c r="E677" s="14" t="str">
        <f t="shared" si="30"/>
        <v>mar</v>
      </c>
      <c r="F677" s="14" t="str">
        <f t="shared" si="31"/>
        <v>1998</v>
      </c>
      <c r="G677" s="14">
        <v>35912</v>
      </c>
      <c r="H677" s="14">
        <v>35888</v>
      </c>
      <c r="I677" s="3">
        <v>3</v>
      </c>
      <c r="J677" s="3" t="str">
        <f t="shared" si="32"/>
        <v>DHL</v>
      </c>
      <c r="K677" s="3">
        <v>211.22</v>
      </c>
      <c r="L677" s="3" t="s">
        <v>20</v>
      </c>
      <c r="M677" s="3" t="s">
        <v>524</v>
      </c>
      <c r="N677" s="3" t="s">
        <v>525</v>
      </c>
      <c r="O677" s="3" t="s">
        <v>526</v>
      </c>
      <c r="P677" s="3" t="s">
        <v>527</v>
      </c>
      <c r="Q677" s="3" t="s">
        <v>290</v>
      </c>
    </row>
    <row r="678" spans="2:17" hidden="1" x14ac:dyDescent="0.3">
      <c r="B678" s="3">
        <v>11002</v>
      </c>
      <c r="C678" s="3" t="s">
        <v>522</v>
      </c>
      <c r="D678" s="14">
        <v>35891</v>
      </c>
      <c r="E678" s="14" t="str">
        <f t="shared" si="30"/>
        <v>abr</v>
      </c>
      <c r="F678" s="14" t="str">
        <f t="shared" si="31"/>
        <v>1998</v>
      </c>
      <c r="G678" s="14">
        <v>35919</v>
      </c>
      <c r="H678" s="14">
        <v>35901</v>
      </c>
      <c r="I678" s="3">
        <v>1</v>
      </c>
      <c r="J678" s="3" t="str">
        <f t="shared" si="32"/>
        <v>UPS</v>
      </c>
      <c r="K678" s="3">
        <v>141.16</v>
      </c>
      <c r="L678" s="3" t="s">
        <v>20</v>
      </c>
      <c r="M678" s="3" t="s">
        <v>524</v>
      </c>
      <c r="N678" s="3" t="s">
        <v>525</v>
      </c>
      <c r="O678" s="3" t="s">
        <v>526</v>
      </c>
      <c r="P678" s="3" t="s">
        <v>527</v>
      </c>
      <c r="Q678" s="3" t="s">
        <v>290</v>
      </c>
    </row>
    <row r="679" spans="2:17" hidden="1" x14ac:dyDescent="0.3">
      <c r="B679" s="3">
        <v>11030</v>
      </c>
      <c r="C679" s="3" t="s">
        <v>522</v>
      </c>
      <c r="D679" s="14">
        <v>35902</v>
      </c>
      <c r="E679" s="14" t="str">
        <f t="shared" si="30"/>
        <v>abr</v>
      </c>
      <c r="F679" s="14" t="str">
        <f t="shared" si="31"/>
        <v>1998</v>
      </c>
      <c r="G679" s="14">
        <v>35930</v>
      </c>
      <c r="H679" s="14">
        <v>35912</v>
      </c>
      <c r="I679" s="3">
        <v>2</v>
      </c>
      <c r="J679" s="3" t="str">
        <f t="shared" si="32"/>
        <v>USPS</v>
      </c>
      <c r="K679" s="3">
        <v>830.75</v>
      </c>
      <c r="L679" s="3" t="s">
        <v>20</v>
      </c>
      <c r="M679" s="3" t="s">
        <v>524</v>
      </c>
      <c r="N679" s="3" t="s">
        <v>525</v>
      </c>
      <c r="O679" s="3" t="s">
        <v>526</v>
      </c>
      <c r="P679" s="3" t="s">
        <v>527</v>
      </c>
      <c r="Q679" s="3" t="s">
        <v>290</v>
      </c>
    </row>
    <row r="680" spans="2:17" hidden="1" x14ac:dyDescent="0.3">
      <c r="B680" s="3">
        <v>11031</v>
      </c>
      <c r="C680" s="3" t="s">
        <v>522</v>
      </c>
      <c r="D680" s="14">
        <v>35902</v>
      </c>
      <c r="E680" s="14" t="str">
        <f t="shared" si="30"/>
        <v>abr</v>
      </c>
      <c r="F680" s="14" t="str">
        <f t="shared" si="31"/>
        <v>1998</v>
      </c>
      <c r="G680" s="14">
        <v>35930</v>
      </c>
      <c r="H680" s="14">
        <v>35909</v>
      </c>
      <c r="I680" s="3">
        <v>2</v>
      </c>
      <c r="J680" s="3" t="str">
        <f t="shared" si="32"/>
        <v>USPS</v>
      </c>
      <c r="K680" s="3">
        <v>227.22</v>
      </c>
      <c r="L680" s="3" t="s">
        <v>20</v>
      </c>
      <c r="M680" s="3" t="s">
        <v>524</v>
      </c>
      <c r="N680" s="3" t="s">
        <v>525</v>
      </c>
      <c r="O680" s="3" t="s">
        <v>526</v>
      </c>
      <c r="P680" s="3" t="s">
        <v>527</v>
      </c>
      <c r="Q680" s="3" t="s">
        <v>290</v>
      </c>
    </row>
    <row r="681" spans="2:17" hidden="1" x14ac:dyDescent="0.3">
      <c r="B681" s="3">
        <v>11064</v>
      </c>
      <c r="C681" s="3" t="s">
        <v>522</v>
      </c>
      <c r="D681" s="14">
        <v>35916</v>
      </c>
      <c r="E681" s="14" t="str">
        <f t="shared" si="30"/>
        <v>mai</v>
      </c>
      <c r="F681" s="14" t="str">
        <f t="shared" si="31"/>
        <v>1998</v>
      </c>
      <c r="G681" s="14">
        <v>35944</v>
      </c>
      <c r="H681" s="14">
        <v>35919</v>
      </c>
      <c r="I681" s="3">
        <v>1</v>
      </c>
      <c r="J681" s="3" t="str">
        <f t="shared" si="32"/>
        <v>UPS</v>
      </c>
      <c r="K681" s="3">
        <v>30.09</v>
      </c>
      <c r="L681" s="3" t="s">
        <v>20</v>
      </c>
      <c r="M681" s="3" t="s">
        <v>524</v>
      </c>
      <c r="N681" s="3" t="s">
        <v>525</v>
      </c>
      <c r="O681" s="3" t="s">
        <v>526</v>
      </c>
      <c r="P681" s="3" t="s">
        <v>527</v>
      </c>
      <c r="Q681" s="3" t="s">
        <v>290</v>
      </c>
    </row>
    <row r="682" spans="2:17" customFormat="1" ht="15" hidden="1" x14ac:dyDescent="0.25">
      <c r="B682">
        <v>10359</v>
      </c>
      <c r="C682" t="s">
        <v>529</v>
      </c>
      <c r="D682" s="1">
        <v>35390</v>
      </c>
      <c r="E682" s="1" t="str">
        <f t="shared" si="30"/>
        <v>nov</v>
      </c>
      <c r="F682" s="1" t="str">
        <f t="shared" si="31"/>
        <v>1996</v>
      </c>
      <c r="G682" s="1">
        <v>35418</v>
      </c>
      <c r="H682" s="1">
        <v>35395</v>
      </c>
      <c r="I682">
        <v>3</v>
      </c>
      <c r="J682" t="str">
        <f t="shared" si="32"/>
        <v>DHL</v>
      </c>
      <c r="K682">
        <v>288.43</v>
      </c>
      <c r="L682" t="s">
        <v>19</v>
      </c>
      <c r="M682" t="s">
        <v>531</v>
      </c>
      <c r="N682" t="s">
        <v>111</v>
      </c>
      <c r="P682" t="s">
        <v>532</v>
      </c>
      <c r="Q682" t="s">
        <v>113</v>
      </c>
    </row>
    <row r="683" spans="2:17" customFormat="1" ht="15" hidden="1" x14ac:dyDescent="0.25">
      <c r="B683">
        <v>10377</v>
      </c>
      <c r="C683" t="s">
        <v>529</v>
      </c>
      <c r="D683" s="1">
        <v>35408</v>
      </c>
      <c r="E683" s="1" t="str">
        <f t="shared" si="30"/>
        <v>dez</v>
      </c>
      <c r="F683" s="1" t="str">
        <f t="shared" si="31"/>
        <v>1996</v>
      </c>
      <c r="G683" s="1">
        <v>35436</v>
      </c>
      <c r="H683" s="1">
        <v>35412</v>
      </c>
      <c r="I683">
        <v>3</v>
      </c>
      <c r="J683" t="str">
        <f t="shared" si="32"/>
        <v>DHL</v>
      </c>
      <c r="K683">
        <v>22.21</v>
      </c>
      <c r="L683" t="s">
        <v>19</v>
      </c>
      <c r="M683" t="s">
        <v>531</v>
      </c>
      <c r="N683" t="s">
        <v>111</v>
      </c>
      <c r="P683" t="s">
        <v>532</v>
      </c>
      <c r="Q683" t="s">
        <v>113</v>
      </c>
    </row>
    <row r="684" spans="2:17" customFormat="1" ht="15" hidden="1" x14ac:dyDescent="0.25">
      <c r="B684">
        <v>10388</v>
      </c>
      <c r="C684" t="s">
        <v>529</v>
      </c>
      <c r="D684" s="1">
        <v>35418</v>
      </c>
      <c r="E684" s="1" t="str">
        <f t="shared" si="30"/>
        <v>dez</v>
      </c>
      <c r="F684" s="1" t="str">
        <f t="shared" si="31"/>
        <v>1996</v>
      </c>
      <c r="G684" s="1">
        <v>35446</v>
      </c>
      <c r="H684" s="1">
        <v>35419</v>
      </c>
      <c r="I684">
        <v>1</v>
      </c>
      <c r="J684" t="str">
        <f t="shared" si="32"/>
        <v>UPS</v>
      </c>
      <c r="K684">
        <v>34.86</v>
      </c>
      <c r="L684" t="s">
        <v>19</v>
      </c>
      <c r="M684" t="s">
        <v>531</v>
      </c>
      <c r="N684" t="s">
        <v>111</v>
      </c>
      <c r="P684" t="s">
        <v>532</v>
      </c>
      <c r="Q684" t="s">
        <v>113</v>
      </c>
    </row>
    <row r="685" spans="2:17" customFormat="1" ht="15" hidden="1" x14ac:dyDescent="0.25">
      <c r="B685">
        <v>10472</v>
      </c>
      <c r="C685" t="s">
        <v>529</v>
      </c>
      <c r="D685" s="1">
        <v>35501</v>
      </c>
      <c r="E685" s="1" t="str">
        <f t="shared" si="30"/>
        <v>mar</v>
      </c>
      <c r="F685" s="1" t="str">
        <f t="shared" si="31"/>
        <v>1997</v>
      </c>
      <c r="G685" s="1">
        <v>35529</v>
      </c>
      <c r="H685" s="1">
        <v>35508</v>
      </c>
      <c r="I685">
        <v>1</v>
      </c>
      <c r="J685" t="str">
        <f t="shared" si="32"/>
        <v>UPS</v>
      </c>
      <c r="K685">
        <v>4.2</v>
      </c>
      <c r="L685" t="s">
        <v>19</v>
      </c>
      <c r="M685" t="s">
        <v>531</v>
      </c>
      <c r="N685" t="s">
        <v>111</v>
      </c>
      <c r="P685" t="s">
        <v>532</v>
      </c>
      <c r="Q685" t="s">
        <v>113</v>
      </c>
    </row>
    <row r="686" spans="2:17" customFormat="1" ht="15" hidden="1" x14ac:dyDescent="0.25">
      <c r="B686">
        <v>10523</v>
      </c>
      <c r="C686" t="s">
        <v>529</v>
      </c>
      <c r="D686" s="1">
        <v>35551</v>
      </c>
      <c r="E686" s="1" t="str">
        <f t="shared" si="30"/>
        <v>mai</v>
      </c>
      <c r="F686" s="1" t="str">
        <f t="shared" si="31"/>
        <v>1997</v>
      </c>
      <c r="G686" s="1">
        <v>35579</v>
      </c>
      <c r="H686" s="1">
        <v>35580</v>
      </c>
      <c r="I686">
        <v>2</v>
      </c>
      <c r="J686" t="str">
        <f t="shared" si="32"/>
        <v>USPS</v>
      </c>
      <c r="K686">
        <v>77.63</v>
      </c>
      <c r="L686" t="s">
        <v>19</v>
      </c>
      <c r="M686" t="s">
        <v>531</v>
      </c>
      <c r="N686" t="s">
        <v>111</v>
      </c>
      <c r="P686" t="s">
        <v>532</v>
      </c>
      <c r="Q686" t="s">
        <v>113</v>
      </c>
    </row>
    <row r="687" spans="2:17" customFormat="1" ht="15" hidden="1" x14ac:dyDescent="0.25">
      <c r="B687">
        <v>10547</v>
      </c>
      <c r="C687" t="s">
        <v>529</v>
      </c>
      <c r="D687" s="1">
        <v>35573</v>
      </c>
      <c r="E687" s="1" t="str">
        <f t="shared" si="30"/>
        <v>mai</v>
      </c>
      <c r="F687" s="1" t="str">
        <f t="shared" si="31"/>
        <v>1997</v>
      </c>
      <c r="G687" s="1">
        <v>35601</v>
      </c>
      <c r="H687" s="1">
        <v>35583</v>
      </c>
      <c r="I687">
        <v>2</v>
      </c>
      <c r="J687" t="str">
        <f t="shared" si="32"/>
        <v>USPS</v>
      </c>
      <c r="K687">
        <v>178.43</v>
      </c>
      <c r="L687" t="s">
        <v>19</v>
      </c>
      <c r="M687" t="s">
        <v>531</v>
      </c>
      <c r="N687" t="s">
        <v>111</v>
      </c>
      <c r="P687" t="s">
        <v>532</v>
      </c>
      <c r="Q687" t="s">
        <v>113</v>
      </c>
    </row>
    <row r="688" spans="2:17" customFormat="1" ht="15" hidden="1" x14ac:dyDescent="0.25">
      <c r="B688">
        <v>10800</v>
      </c>
      <c r="C688" t="s">
        <v>529</v>
      </c>
      <c r="D688" s="1">
        <v>35790</v>
      </c>
      <c r="E688" s="1" t="str">
        <f t="shared" si="30"/>
        <v>dez</v>
      </c>
      <c r="F688" s="1" t="str">
        <f t="shared" si="31"/>
        <v>1997</v>
      </c>
      <c r="G688" s="1">
        <v>35818</v>
      </c>
      <c r="H688" s="1">
        <v>35800</v>
      </c>
      <c r="I688">
        <v>3</v>
      </c>
      <c r="J688" t="str">
        <f t="shared" si="32"/>
        <v>DHL</v>
      </c>
      <c r="K688">
        <v>137.44</v>
      </c>
      <c r="L688" t="s">
        <v>19</v>
      </c>
      <c r="M688" t="s">
        <v>531</v>
      </c>
      <c r="N688" t="s">
        <v>111</v>
      </c>
      <c r="P688" t="s">
        <v>532</v>
      </c>
      <c r="Q688" t="s">
        <v>113</v>
      </c>
    </row>
    <row r="689" spans="2:17" customFormat="1" ht="15" hidden="1" x14ac:dyDescent="0.25">
      <c r="B689">
        <v>10804</v>
      </c>
      <c r="C689" t="s">
        <v>529</v>
      </c>
      <c r="D689" s="1">
        <v>35794</v>
      </c>
      <c r="E689" s="1" t="str">
        <f t="shared" si="30"/>
        <v>dez</v>
      </c>
      <c r="F689" s="1" t="str">
        <f t="shared" si="31"/>
        <v>1997</v>
      </c>
      <c r="G689" s="1">
        <v>35822</v>
      </c>
      <c r="H689" s="1">
        <v>35802</v>
      </c>
      <c r="I689">
        <v>2</v>
      </c>
      <c r="J689" t="str">
        <f t="shared" si="32"/>
        <v>USPS</v>
      </c>
      <c r="K689">
        <v>27.33</v>
      </c>
      <c r="L689" t="s">
        <v>19</v>
      </c>
      <c r="M689" t="s">
        <v>531</v>
      </c>
      <c r="N689" t="s">
        <v>111</v>
      </c>
      <c r="P689" t="s">
        <v>532</v>
      </c>
      <c r="Q689" t="s">
        <v>113</v>
      </c>
    </row>
    <row r="690" spans="2:17" customFormat="1" ht="15" hidden="1" x14ac:dyDescent="0.25">
      <c r="B690">
        <v>10869</v>
      </c>
      <c r="C690" t="s">
        <v>529</v>
      </c>
      <c r="D690" s="1">
        <v>35830</v>
      </c>
      <c r="E690" s="1" t="str">
        <f t="shared" si="30"/>
        <v>fev</v>
      </c>
      <c r="F690" s="1" t="str">
        <f t="shared" si="31"/>
        <v>1998</v>
      </c>
      <c r="G690" s="1">
        <v>35858</v>
      </c>
      <c r="H690" s="1">
        <v>35835</v>
      </c>
      <c r="I690">
        <v>1</v>
      </c>
      <c r="J690" t="str">
        <f t="shared" si="32"/>
        <v>UPS</v>
      </c>
      <c r="K690">
        <v>143.28</v>
      </c>
      <c r="L690" t="s">
        <v>19</v>
      </c>
      <c r="M690" t="s">
        <v>531</v>
      </c>
      <c r="N690" t="s">
        <v>111</v>
      </c>
      <c r="P690" t="s">
        <v>532</v>
      </c>
      <c r="Q690" t="s">
        <v>113</v>
      </c>
    </row>
    <row r="691" spans="2:17" customFormat="1" ht="15" hidden="1" x14ac:dyDescent="0.25">
      <c r="B691">
        <v>10341</v>
      </c>
      <c r="C691" t="s">
        <v>534</v>
      </c>
      <c r="D691" s="1">
        <v>35367</v>
      </c>
      <c r="E691" s="1" t="str">
        <f t="shared" si="30"/>
        <v>out</v>
      </c>
      <c r="F691" s="1" t="str">
        <f t="shared" si="31"/>
        <v>1996</v>
      </c>
      <c r="G691" s="1">
        <v>35395</v>
      </c>
      <c r="H691" s="1">
        <v>35374</v>
      </c>
      <c r="I691">
        <v>3</v>
      </c>
      <c r="J691" t="str">
        <f t="shared" si="32"/>
        <v>DHL</v>
      </c>
      <c r="K691">
        <v>26.78</v>
      </c>
      <c r="L691" t="s">
        <v>18</v>
      </c>
      <c r="M691" t="s">
        <v>536</v>
      </c>
      <c r="N691" t="s">
        <v>537</v>
      </c>
      <c r="P691" t="s">
        <v>538</v>
      </c>
      <c r="Q691" t="s">
        <v>539</v>
      </c>
    </row>
    <row r="692" spans="2:17" customFormat="1" ht="15" hidden="1" x14ac:dyDescent="0.25">
      <c r="B692">
        <v>10417</v>
      </c>
      <c r="C692" t="s">
        <v>534</v>
      </c>
      <c r="D692" s="1">
        <v>35446</v>
      </c>
      <c r="E692" s="1" t="str">
        <f t="shared" si="30"/>
        <v>jan</v>
      </c>
      <c r="F692" s="1" t="str">
        <f t="shared" si="31"/>
        <v>1997</v>
      </c>
      <c r="G692" s="1">
        <v>35474</v>
      </c>
      <c r="H692" s="1">
        <v>35458</v>
      </c>
      <c r="I692">
        <v>3</v>
      </c>
      <c r="J692" t="str">
        <f t="shared" si="32"/>
        <v>DHL</v>
      </c>
      <c r="K692">
        <v>70.290000000000006</v>
      </c>
      <c r="L692" t="s">
        <v>18</v>
      </c>
      <c r="M692" t="s">
        <v>536</v>
      </c>
      <c r="N692" t="s">
        <v>537</v>
      </c>
      <c r="P692" t="s">
        <v>538</v>
      </c>
      <c r="Q692" t="s">
        <v>539</v>
      </c>
    </row>
    <row r="693" spans="2:17" customFormat="1" ht="15" hidden="1" x14ac:dyDescent="0.25">
      <c r="B693">
        <v>10556</v>
      </c>
      <c r="C693" t="s">
        <v>534</v>
      </c>
      <c r="D693" s="1">
        <v>35584</v>
      </c>
      <c r="E693" s="1" t="str">
        <f t="shared" si="30"/>
        <v>jun</v>
      </c>
      <c r="F693" s="1" t="str">
        <f t="shared" si="31"/>
        <v>1997</v>
      </c>
      <c r="G693" s="1">
        <v>35626</v>
      </c>
      <c r="H693" s="1">
        <v>35594</v>
      </c>
      <c r="I693">
        <v>1</v>
      </c>
      <c r="J693" t="str">
        <f t="shared" si="32"/>
        <v>UPS</v>
      </c>
      <c r="K693">
        <v>9.8000000000000007</v>
      </c>
      <c r="L693" t="s">
        <v>18</v>
      </c>
      <c r="M693" t="s">
        <v>536</v>
      </c>
      <c r="N693" t="s">
        <v>537</v>
      </c>
      <c r="P693" t="s">
        <v>538</v>
      </c>
      <c r="Q693" t="s">
        <v>539</v>
      </c>
    </row>
    <row r="694" spans="2:17" customFormat="1" ht="15" hidden="1" x14ac:dyDescent="0.25">
      <c r="B694">
        <v>10642</v>
      </c>
      <c r="C694" t="s">
        <v>534</v>
      </c>
      <c r="D694" s="1">
        <v>35664</v>
      </c>
      <c r="E694" s="1" t="str">
        <f t="shared" si="30"/>
        <v>ago</v>
      </c>
      <c r="F694" s="1" t="str">
        <f t="shared" si="31"/>
        <v>1997</v>
      </c>
      <c r="G694" s="1">
        <v>35692</v>
      </c>
      <c r="H694" s="1">
        <v>35678</v>
      </c>
      <c r="I694">
        <v>3</v>
      </c>
      <c r="J694" t="str">
        <f t="shared" si="32"/>
        <v>DHL</v>
      </c>
      <c r="K694">
        <v>41.89</v>
      </c>
      <c r="L694" t="s">
        <v>18</v>
      </c>
      <c r="M694" t="s">
        <v>536</v>
      </c>
      <c r="N694" t="s">
        <v>537</v>
      </c>
      <c r="P694" t="s">
        <v>538</v>
      </c>
      <c r="Q694" t="s">
        <v>539</v>
      </c>
    </row>
    <row r="695" spans="2:17" customFormat="1" ht="15" hidden="1" x14ac:dyDescent="0.25">
      <c r="B695">
        <v>10669</v>
      </c>
      <c r="C695" t="s">
        <v>534</v>
      </c>
      <c r="D695" s="1">
        <v>35688</v>
      </c>
      <c r="E695" s="1" t="str">
        <f t="shared" si="30"/>
        <v>set</v>
      </c>
      <c r="F695" s="1" t="str">
        <f t="shared" si="31"/>
        <v>1997</v>
      </c>
      <c r="G695" s="1">
        <v>35716</v>
      </c>
      <c r="H695" s="1">
        <v>35695</v>
      </c>
      <c r="I695">
        <v>1</v>
      </c>
      <c r="J695" t="str">
        <f t="shared" si="32"/>
        <v>UPS</v>
      </c>
      <c r="K695">
        <v>24.39</v>
      </c>
      <c r="L695" t="s">
        <v>18</v>
      </c>
      <c r="M695" t="s">
        <v>536</v>
      </c>
      <c r="N695" t="s">
        <v>537</v>
      </c>
      <c r="P695" t="s">
        <v>538</v>
      </c>
      <c r="Q695" t="s">
        <v>539</v>
      </c>
    </row>
    <row r="696" spans="2:17" customFormat="1" ht="15" hidden="1" x14ac:dyDescent="0.25">
      <c r="B696">
        <v>10802</v>
      </c>
      <c r="C696" t="s">
        <v>534</v>
      </c>
      <c r="D696" s="1">
        <v>35793</v>
      </c>
      <c r="E696" s="1" t="str">
        <f t="shared" si="30"/>
        <v>dez</v>
      </c>
      <c r="F696" s="1" t="str">
        <f t="shared" si="31"/>
        <v>1997</v>
      </c>
      <c r="G696" s="1">
        <v>35821</v>
      </c>
      <c r="H696" s="1">
        <v>35797</v>
      </c>
      <c r="I696">
        <v>2</v>
      </c>
      <c r="J696" t="str">
        <f t="shared" si="32"/>
        <v>USPS</v>
      </c>
      <c r="K696">
        <v>257.26</v>
      </c>
      <c r="L696" t="s">
        <v>18</v>
      </c>
      <c r="M696" t="s">
        <v>536</v>
      </c>
      <c r="N696" t="s">
        <v>537</v>
      </c>
      <c r="P696" t="s">
        <v>538</v>
      </c>
      <c r="Q696" t="s">
        <v>539</v>
      </c>
    </row>
    <row r="697" spans="2:17" customFormat="1" ht="15" hidden="1" x14ac:dyDescent="0.25">
      <c r="B697">
        <v>11074</v>
      </c>
      <c r="C697" t="s">
        <v>534</v>
      </c>
      <c r="D697" s="1">
        <v>35921</v>
      </c>
      <c r="E697" s="1" t="str">
        <f t="shared" si="30"/>
        <v>mai</v>
      </c>
      <c r="F697" s="1" t="str">
        <f t="shared" si="31"/>
        <v>1998</v>
      </c>
      <c r="G697" s="1">
        <v>35949</v>
      </c>
      <c r="H697" s="1"/>
      <c r="I697">
        <v>2</v>
      </c>
      <c r="J697" t="str">
        <f t="shared" si="32"/>
        <v>USPS</v>
      </c>
      <c r="K697">
        <v>18.440000000000001</v>
      </c>
      <c r="L697" t="s">
        <v>18</v>
      </c>
      <c r="M697" t="s">
        <v>536</v>
      </c>
      <c r="N697" t="s">
        <v>537</v>
      </c>
      <c r="P697" t="s">
        <v>538</v>
      </c>
      <c r="Q697" t="s">
        <v>539</v>
      </c>
    </row>
    <row r="698" spans="2:17" customFormat="1" ht="15" hidden="1" x14ac:dyDescent="0.25">
      <c r="B698">
        <v>10738</v>
      </c>
      <c r="C698" t="s">
        <v>541</v>
      </c>
      <c r="D698" s="1">
        <v>35746</v>
      </c>
      <c r="E698" s="1" t="str">
        <f t="shared" si="30"/>
        <v>nov</v>
      </c>
      <c r="F698" s="1" t="str">
        <f t="shared" si="31"/>
        <v>1997</v>
      </c>
      <c r="G698" s="1">
        <v>35774</v>
      </c>
      <c r="H698" s="1">
        <v>35752</v>
      </c>
      <c r="I698">
        <v>1</v>
      </c>
      <c r="J698" t="str">
        <f t="shared" si="32"/>
        <v>UPS</v>
      </c>
      <c r="K698">
        <v>2.91</v>
      </c>
      <c r="L698" t="s">
        <v>17</v>
      </c>
      <c r="M698" t="s">
        <v>543</v>
      </c>
      <c r="N698" t="s">
        <v>447</v>
      </c>
      <c r="P698" t="s">
        <v>544</v>
      </c>
      <c r="Q698" t="s">
        <v>134</v>
      </c>
    </row>
    <row r="699" spans="2:17" customFormat="1" ht="15" hidden="1" x14ac:dyDescent="0.25">
      <c r="B699">
        <v>10907</v>
      </c>
      <c r="C699" t="s">
        <v>541</v>
      </c>
      <c r="D699" s="1">
        <v>35851</v>
      </c>
      <c r="E699" s="1" t="str">
        <f t="shared" si="30"/>
        <v>fev</v>
      </c>
      <c r="F699" s="1" t="str">
        <f t="shared" si="31"/>
        <v>1998</v>
      </c>
      <c r="G699" s="1">
        <v>35879</v>
      </c>
      <c r="H699" s="1">
        <v>35853</v>
      </c>
      <c r="I699">
        <v>3</v>
      </c>
      <c r="J699" t="str">
        <f t="shared" si="32"/>
        <v>DHL</v>
      </c>
      <c r="K699">
        <v>9.19</v>
      </c>
      <c r="L699" t="s">
        <v>17</v>
      </c>
      <c r="M699" t="s">
        <v>543</v>
      </c>
      <c r="N699" t="s">
        <v>447</v>
      </c>
      <c r="P699" t="s">
        <v>544</v>
      </c>
      <c r="Q699" t="s">
        <v>134</v>
      </c>
    </row>
    <row r="700" spans="2:17" customFormat="1" ht="15" hidden="1" x14ac:dyDescent="0.25">
      <c r="B700">
        <v>10964</v>
      </c>
      <c r="C700" t="s">
        <v>541</v>
      </c>
      <c r="D700" s="1">
        <v>35874</v>
      </c>
      <c r="E700" s="1" t="str">
        <f t="shared" si="30"/>
        <v>mar</v>
      </c>
      <c r="F700" s="1" t="str">
        <f t="shared" si="31"/>
        <v>1998</v>
      </c>
      <c r="G700" s="1">
        <v>35902</v>
      </c>
      <c r="H700" s="1">
        <v>35878</v>
      </c>
      <c r="I700">
        <v>2</v>
      </c>
      <c r="J700" t="str">
        <f t="shared" si="32"/>
        <v>USPS</v>
      </c>
      <c r="K700">
        <v>87.38</v>
      </c>
      <c r="L700" t="s">
        <v>17</v>
      </c>
      <c r="M700" t="s">
        <v>543</v>
      </c>
      <c r="N700" t="s">
        <v>447</v>
      </c>
      <c r="P700" t="s">
        <v>544</v>
      </c>
      <c r="Q700" t="s">
        <v>134</v>
      </c>
    </row>
    <row r="701" spans="2:17" customFormat="1" ht="15" hidden="1" x14ac:dyDescent="0.25">
      <c r="B701">
        <v>11043</v>
      </c>
      <c r="C701" t="s">
        <v>541</v>
      </c>
      <c r="D701" s="1">
        <v>35907</v>
      </c>
      <c r="E701" s="1" t="str">
        <f t="shared" si="30"/>
        <v>abr</v>
      </c>
      <c r="F701" s="1" t="str">
        <f t="shared" si="31"/>
        <v>1998</v>
      </c>
      <c r="G701" s="1">
        <v>35935</v>
      </c>
      <c r="H701" s="1">
        <v>35914</v>
      </c>
      <c r="I701">
        <v>2</v>
      </c>
      <c r="J701" t="str">
        <f t="shared" si="32"/>
        <v>USPS</v>
      </c>
      <c r="K701">
        <v>8.8000000000000007</v>
      </c>
      <c r="L701" t="s">
        <v>17</v>
      </c>
      <c r="M701" t="s">
        <v>543</v>
      </c>
      <c r="N701" t="s">
        <v>447</v>
      </c>
      <c r="P701" t="s">
        <v>544</v>
      </c>
      <c r="Q701" t="s">
        <v>134</v>
      </c>
    </row>
    <row r="702" spans="2:17" customFormat="1" ht="15" hidden="1" x14ac:dyDescent="0.25">
      <c r="B702">
        <v>10271</v>
      </c>
      <c r="C702" t="s">
        <v>546</v>
      </c>
      <c r="D702" s="1">
        <v>35278</v>
      </c>
      <c r="E702" s="1" t="str">
        <f t="shared" si="30"/>
        <v>ago</v>
      </c>
      <c r="F702" s="1" t="str">
        <f t="shared" si="31"/>
        <v>1996</v>
      </c>
      <c r="G702" s="1">
        <v>35306</v>
      </c>
      <c r="H702" s="1">
        <v>35307</v>
      </c>
      <c r="I702">
        <v>2</v>
      </c>
      <c r="J702" t="str">
        <f t="shared" si="32"/>
        <v>USPS</v>
      </c>
      <c r="K702">
        <v>4.54</v>
      </c>
      <c r="L702" t="s">
        <v>16</v>
      </c>
      <c r="M702" t="s">
        <v>548</v>
      </c>
      <c r="N702" t="s">
        <v>549</v>
      </c>
      <c r="O702" t="s">
        <v>550</v>
      </c>
      <c r="P702" t="s">
        <v>551</v>
      </c>
      <c r="Q702" t="s">
        <v>290</v>
      </c>
    </row>
    <row r="703" spans="2:17" customFormat="1" ht="15" hidden="1" x14ac:dyDescent="0.25">
      <c r="B703">
        <v>10329</v>
      </c>
      <c r="C703" t="s">
        <v>546</v>
      </c>
      <c r="D703" s="1">
        <v>35353</v>
      </c>
      <c r="E703" s="1" t="str">
        <f t="shared" si="30"/>
        <v>out</v>
      </c>
      <c r="F703" s="1" t="str">
        <f t="shared" si="31"/>
        <v>1996</v>
      </c>
      <c r="G703" s="1">
        <v>35395</v>
      </c>
      <c r="H703" s="1">
        <v>35361</v>
      </c>
      <c r="I703">
        <v>2</v>
      </c>
      <c r="J703" t="str">
        <f t="shared" si="32"/>
        <v>USPS</v>
      </c>
      <c r="K703">
        <v>191.67</v>
      </c>
      <c r="L703" t="s">
        <v>16</v>
      </c>
      <c r="M703" t="s">
        <v>548</v>
      </c>
      <c r="N703" t="s">
        <v>549</v>
      </c>
      <c r="O703" t="s">
        <v>550</v>
      </c>
      <c r="P703" t="s">
        <v>551</v>
      </c>
      <c r="Q703" t="s">
        <v>290</v>
      </c>
    </row>
    <row r="704" spans="2:17" customFormat="1" ht="15" hidden="1" x14ac:dyDescent="0.25">
      <c r="B704">
        <v>10349</v>
      </c>
      <c r="C704" t="s">
        <v>546</v>
      </c>
      <c r="D704" s="1">
        <v>35377</v>
      </c>
      <c r="E704" s="1" t="str">
        <f t="shared" si="30"/>
        <v>nov</v>
      </c>
      <c r="F704" s="1" t="str">
        <f t="shared" si="31"/>
        <v>1996</v>
      </c>
      <c r="G704" s="1">
        <v>35405</v>
      </c>
      <c r="H704" s="1">
        <v>35384</v>
      </c>
      <c r="I704">
        <v>1</v>
      </c>
      <c r="J704" t="str">
        <f t="shared" si="32"/>
        <v>UPS</v>
      </c>
      <c r="K704">
        <v>8.6300000000000008</v>
      </c>
      <c r="L704" t="s">
        <v>16</v>
      </c>
      <c r="M704" t="s">
        <v>548</v>
      </c>
      <c r="N704" t="s">
        <v>549</v>
      </c>
      <c r="O704" t="s">
        <v>550</v>
      </c>
      <c r="P704" t="s">
        <v>551</v>
      </c>
      <c r="Q704" t="s">
        <v>290</v>
      </c>
    </row>
    <row r="705" spans="2:17" customFormat="1" ht="15" hidden="1" x14ac:dyDescent="0.25">
      <c r="B705">
        <v>10369</v>
      </c>
      <c r="C705" t="s">
        <v>546</v>
      </c>
      <c r="D705" s="1">
        <v>35401</v>
      </c>
      <c r="E705" s="1" t="str">
        <f t="shared" si="30"/>
        <v>dez</v>
      </c>
      <c r="F705" s="1" t="str">
        <f t="shared" si="31"/>
        <v>1996</v>
      </c>
      <c r="G705" s="1">
        <v>35429</v>
      </c>
      <c r="H705" s="1">
        <v>35408</v>
      </c>
      <c r="I705">
        <v>2</v>
      </c>
      <c r="J705" t="str">
        <f t="shared" si="32"/>
        <v>USPS</v>
      </c>
      <c r="K705">
        <v>195.68</v>
      </c>
      <c r="L705" t="s">
        <v>16</v>
      </c>
      <c r="M705" t="s">
        <v>548</v>
      </c>
      <c r="N705" t="s">
        <v>549</v>
      </c>
      <c r="O705" t="s">
        <v>550</v>
      </c>
      <c r="P705" t="s">
        <v>551</v>
      </c>
      <c r="Q705" t="s">
        <v>290</v>
      </c>
    </row>
    <row r="706" spans="2:17" customFormat="1" ht="15" hidden="1" x14ac:dyDescent="0.25">
      <c r="B706">
        <v>10385</v>
      </c>
      <c r="C706" t="s">
        <v>546</v>
      </c>
      <c r="D706" s="1">
        <v>35416</v>
      </c>
      <c r="E706" s="1" t="str">
        <f t="shared" si="30"/>
        <v>dez</v>
      </c>
      <c r="F706" s="1" t="str">
        <f t="shared" si="31"/>
        <v>1996</v>
      </c>
      <c r="G706" s="1">
        <v>35444</v>
      </c>
      <c r="H706" s="1">
        <v>35422</v>
      </c>
      <c r="I706">
        <v>2</v>
      </c>
      <c r="J706" t="str">
        <f t="shared" si="32"/>
        <v>USPS</v>
      </c>
      <c r="K706">
        <v>30.96</v>
      </c>
      <c r="L706" t="s">
        <v>16</v>
      </c>
      <c r="M706" t="s">
        <v>548</v>
      </c>
      <c r="N706" t="s">
        <v>549</v>
      </c>
      <c r="O706" t="s">
        <v>550</v>
      </c>
      <c r="P706" t="s">
        <v>551</v>
      </c>
      <c r="Q706" t="s">
        <v>290</v>
      </c>
    </row>
    <row r="707" spans="2:17" customFormat="1" ht="15" hidden="1" x14ac:dyDescent="0.25">
      <c r="B707">
        <v>10432</v>
      </c>
      <c r="C707" t="s">
        <v>546</v>
      </c>
      <c r="D707" s="1">
        <v>35461</v>
      </c>
      <c r="E707" s="1" t="str">
        <f t="shared" si="30"/>
        <v>jan</v>
      </c>
      <c r="F707" s="1" t="str">
        <f t="shared" si="31"/>
        <v>1997</v>
      </c>
      <c r="G707" s="1">
        <v>35475</v>
      </c>
      <c r="H707" s="1">
        <v>35468</v>
      </c>
      <c r="I707">
        <v>2</v>
      </c>
      <c r="J707" t="str">
        <f t="shared" si="32"/>
        <v>USPS</v>
      </c>
      <c r="K707">
        <v>4.34</v>
      </c>
      <c r="L707" t="s">
        <v>16</v>
      </c>
      <c r="M707" t="s">
        <v>548</v>
      </c>
      <c r="N707" t="s">
        <v>549</v>
      </c>
      <c r="O707" t="s">
        <v>550</v>
      </c>
      <c r="P707" t="s">
        <v>551</v>
      </c>
      <c r="Q707" t="s">
        <v>290</v>
      </c>
    </row>
    <row r="708" spans="2:17" customFormat="1" ht="15" hidden="1" x14ac:dyDescent="0.25">
      <c r="B708">
        <v>10756</v>
      </c>
      <c r="C708" t="s">
        <v>546</v>
      </c>
      <c r="D708" s="1">
        <v>35761</v>
      </c>
      <c r="E708" s="1" t="str">
        <f t="shared" si="30"/>
        <v>nov</v>
      </c>
      <c r="F708" s="1" t="str">
        <f t="shared" si="31"/>
        <v>1997</v>
      </c>
      <c r="G708" s="1">
        <v>35789</v>
      </c>
      <c r="H708" s="1">
        <v>35766</v>
      </c>
      <c r="I708">
        <v>2</v>
      </c>
      <c r="J708" t="str">
        <f t="shared" si="32"/>
        <v>USPS</v>
      </c>
      <c r="K708">
        <v>73.209999999999994</v>
      </c>
      <c r="L708" t="s">
        <v>16</v>
      </c>
      <c r="M708" t="s">
        <v>548</v>
      </c>
      <c r="N708" t="s">
        <v>549</v>
      </c>
      <c r="O708" t="s">
        <v>550</v>
      </c>
      <c r="P708" t="s">
        <v>551</v>
      </c>
      <c r="Q708" t="s">
        <v>290</v>
      </c>
    </row>
    <row r="709" spans="2:17" customFormat="1" ht="15" hidden="1" x14ac:dyDescent="0.25">
      <c r="B709">
        <v>10821</v>
      </c>
      <c r="C709" t="s">
        <v>546</v>
      </c>
      <c r="D709" s="1">
        <v>35803</v>
      </c>
      <c r="E709" s="1" t="str">
        <f t="shared" si="30"/>
        <v>jan</v>
      </c>
      <c r="F709" s="1" t="str">
        <f t="shared" si="31"/>
        <v>1998</v>
      </c>
      <c r="G709" s="1">
        <v>35831</v>
      </c>
      <c r="H709" s="1">
        <v>35810</v>
      </c>
      <c r="I709">
        <v>1</v>
      </c>
      <c r="J709" t="str">
        <f t="shared" si="32"/>
        <v>UPS</v>
      </c>
      <c r="K709">
        <v>36.68</v>
      </c>
      <c r="L709" t="s">
        <v>16</v>
      </c>
      <c r="M709" t="s">
        <v>548</v>
      </c>
      <c r="N709" t="s">
        <v>549</v>
      </c>
      <c r="O709" t="s">
        <v>550</v>
      </c>
      <c r="P709" t="s">
        <v>551</v>
      </c>
      <c r="Q709" t="s">
        <v>290</v>
      </c>
    </row>
    <row r="710" spans="2:17" customFormat="1" ht="15" hidden="1" x14ac:dyDescent="0.25">
      <c r="B710">
        <v>10974</v>
      </c>
      <c r="C710" t="s">
        <v>546</v>
      </c>
      <c r="D710" s="1">
        <v>35879</v>
      </c>
      <c r="E710" s="1" t="str">
        <f t="shared" si="30"/>
        <v>mar</v>
      </c>
      <c r="F710" s="1" t="str">
        <f t="shared" si="31"/>
        <v>1998</v>
      </c>
      <c r="G710" s="1">
        <v>35893</v>
      </c>
      <c r="H710" s="1">
        <v>35888</v>
      </c>
      <c r="I710">
        <v>3</v>
      </c>
      <c r="J710" t="str">
        <f t="shared" si="32"/>
        <v>DHL</v>
      </c>
      <c r="K710">
        <v>12.96</v>
      </c>
      <c r="L710" t="s">
        <v>16</v>
      </c>
      <c r="M710" t="s">
        <v>548</v>
      </c>
      <c r="N710" t="s">
        <v>549</v>
      </c>
      <c r="O710" t="s">
        <v>550</v>
      </c>
      <c r="P710" t="s">
        <v>551</v>
      </c>
      <c r="Q710" t="s">
        <v>290</v>
      </c>
    </row>
    <row r="711" spans="2:17" customFormat="1" ht="15" hidden="1" x14ac:dyDescent="0.25">
      <c r="B711">
        <v>10252</v>
      </c>
      <c r="C711" t="s">
        <v>553</v>
      </c>
      <c r="D711" s="1">
        <v>35255</v>
      </c>
      <c r="E711" s="1" t="str">
        <f t="shared" si="30"/>
        <v>jul</v>
      </c>
      <c r="F711" s="1" t="str">
        <f t="shared" si="31"/>
        <v>1996</v>
      </c>
      <c r="G711" s="1">
        <v>35283</v>
      </c>
      <c r="H711" s="1">
        <v>35257</v>
      </c>
      <c r="I711">
        <v>2</v>
      </c>
      <c r="J711" t="str">
        <f t="shared" si="32"/>
        <v>USPS</v>
      </c>
      <c r="K711">
        <v>51.3</v>
      </c>
      <c r="L711" t="s">
        <v>15</v>
      </c>
      <c r="M711" t="s">
        <v>555</v>
      </c>
      <c r="N711" t="s">
        <v>556</v>
      </c>
      <c r="P711" t="s">
        <v>557</v>
      </c>
      <c r="Q711" t="s">
        <v>406</v>
      </c>
    </row>
    <row r="712" spans="2:17" customFormat="1" ht="15" hidden="1" x14ac:dyDescent="0.25">
      <c r="B712">
        <v>10302</v>
      </c>
      <c r="C712" t="s">
        <v>553</v>
      </c>
      <c r="D712" s="1">
        <v>35318</v>
      </c>
      <c r="E712" s="1" t="str">
        <f t="shared" si="30"/>
        <v>set</v>
      </c>
      <c r="F712" s="1" t="str">
        <f t="shared" si="31"/>
        <v>1996</v>
      </c>
      <c r="G712" s="1">
        <v>35346</v>
      </c>
      <c r="H712" s="1">
        <v>35347</v>
      </c>
      <c r="I712">
        <v>2</v>
      </c>
      <c r="J712" t="str">
        <f t="shared" si="32"/>
        <v>USPS</v>
      </c>
      <c r="K712">
        <v>6.27</v>
      </c>
      <c r="L712" t="s">
        <v>15</v>
      </c>
      <c r="M712" t="s">
        <v>555</v>
      </c>
      <c r="N712" t="s">
        <v>556</v>
      </c>
      <c r="P712" t="s">
        <v>557</v>
      </c>
      <c r="Q712" t="s">
        <v>406</v>
      </c>
    </row>
    <row r="713" spans="2:17" customFormat="1" ht="15" hidden="1" x14ac:dyDescent="0.25">
      <c r="B713">
        <v>10458</v>
      </c>
      <c r="C713" t="s">
        <v>553</v>
      </c>
      <c r="D713" s="1">
        <v>35487</v>
      </c>
      <c r="E713" s="1" t="str">
        <f t="shared" si="30"/>
        <v>fev</v>
      </c>
      <c r="F713" s="1" t="str">
        <f t="shared" si="31"/>
        <v>1997</v>
      </c>
      <c r="G713" s="1">
        <v>35515</v>
      </c>
      <c r="H713" s="1">
        <v>35493</v>
      </c>
      <c r="I713">
        <v>3</v>
      </c>
      <c r="J713" t="str">
        <f t="shared" si="32"/>
        <v>DHL</v>
      </c>
      <c r="K713">
        <v>147.06</v>
      </c>
      <c r="L713" t="s">
        <v>15</v>
      </c>
      <c r="M713" t="s">
        <v>555</v>
      </c>
      <c r="N713" t="s">
        <v>556</v>
      </c>
      <c r="P713" t="s">
        <v>557</v>
      </c>
      <c r="Q713" t="s">
        <v>406</v>
      </c>
    </row>
    <row r="714" spans="2:17" customFormat="1" ht="15" hidden="1" x14ac:dyDescent="0.25">
      <c r="B714">
        <v>10463</v>
      </c>
      <c r="C714" t="s">
        <v>553</v>
      </c>
      <c r="D714" s="1">
        <v>35493</v>
      </c>
      <c r="E714" s="1" t="str">
        <f t="shared" si="30"/>
        <v>mar</v>
      </c>
      <c r="F714" s="1" t="str">
        <f t="shared" si="31"/>
        <v>1997</v>
      </c>
      <c r="G714" s="1">
        <v>35521</v>
      </c>
      <c r="H714" s="1">
        <v>35495</v>
      </c>
      <c r="I714">
        <v>3</v>
      </c>
      <c r="J714" t="str">
        <f t="shared" si="32"/>
        <v>DHL</v>
      </c>
      <c r="K714">
        <v>14.78</v>
      </c>
      <c r="L714" t="s">
        <v>15</v>
      </c>
      <c r="M714" t="s">
        <v>555</v>
      </c>
      <c r="N714" t="s">
        <v>556</v>
      </c>
      <c r="P714" t="s">
        <v>557</v>
      </c>
      <c r="Q714" t="s">
        <v>406</v>
      </c>
    </row>
    <row r="715" spans="2:17" customFormat="1" ht="15" hidden="1" x14ac:dyDescent="0.25">
      <c r="B715">
        <v>10475</v>
      </c>
      <c r="C715" t="s">
        <v>553</v>
      </c>
      <c r="D715" s="1">
        <v>35503</v>
      </c>
      <c r="E715" s="1" t="str">
        <f t="shared" si="30"/>
        <v>mar</v>
      </c>
      <c r="F715" s="1" t="str">
        <f t="shared" si="31"/>
        <v>1997</v>
      </c>
      <c r="G715" s="1">
        <v>35531</v>
      </c>
      <c r="H715" s="1">
        <v>35524</v>
      </c>
      <c r="I715">
        <v>1</v>
      </c>
      <c r="J715" t="str">
        <f t="shared" si="32"/>
        <v>UPS</v>
      </c>
      <c r="K715">
        <v>68.52</v>
      </c>
      <c r="L715" t="s">
        <v>15</v>
      </c>
      <c r="M715" t="s">
        <v>555</v>
      </c>
      <c r="N715" t="s">
        <v>556</v>
      </c>
      <c r="P715" t="s">
        <v>557</v>
      </c>
      <c r="Q715" t="s">
        <v>406</v>
      </c>
    </row>
    <row r="716" spans="2:17" customFormat="1" ht="15" hidden="1" x14ac:dyDescent="0.25">
      <c r="B716">
        <v>10767</v>
      </c>
      <c r="C716" t="s">
        <v>553</v>
      </c>
      <c r="D716" s="1">
        <v>35769</v>
      </c>
      <c r="E716" s="1" t="str">
        <f t="shared" si="30"/>
        <v>dez</v>
      </c>
      <c r="F716" s="1" t="str">
        <f t="shared" si="31"/>
        <v>1997</v>
      </c>
      <c r="G716" s="1">
        <v>35797</v>
      </c>
      <c r="H716" s="1">
        <v>35779</v>
      </c>
      <c r="I716">
        <v>3</v>
      </c>
      <c r="J716" t="str">
        <f t="shared" si="32"/>
        <v>DHL</v>
      </c>
      <c r="K716">
        <v>1.59</v>
      </c>
      <c r="L716" t="s">
        <v>15</v>
      </c>
      <c r="M716" t="s">
        <v>555</v>
      </c>
      <c r="N716" t="s">
        <v>556</v>
      </c>
      <c r="P716" t="s">
        <v>557</v>
      </c>
      <c r="Q716" t="s">
        <v>406</v>
      </c>
    </row>
    <row r="717" spans="2:17" customFormat="1" ht="15" hidden="1" x14ac:dyDescent="0.25">
      <c r="B717">
        <v>10841</v>
      </c>
      <c r="C717" t="s">
        <v>553</v>
      </c>
      <c r="D717" s="1">
        <v>35815</v>
      </c>
      <c r="E717" s="1" t="str">
        <f t="shared" si="30"/>
        <v>jan</v>
      </c>
      <c r="F717" s="1" t="str">
        <f t="shared" si="31"/>
        <v>1998</v>
      </c>
      <c r="G717" s="1">
        <v>35843</v>
      </c>
      <c r="H717" s="1">
        <v>35824</v>
      </c>
      <c r="I717">
        <v>2</v>
      </c>
      <c r="J717" t="str">
        <f t="shared" si="32"/>
        <v>USPS</v>
      </c>
      <c r="K717">
        <v>424.3</v>
      </c>
      <c r="L717" t="s">
        <v>15</v>
      </c>
      <c r="M717" t="s">
        <v>555</v>
      </c>
      <c r="N717" t="s">
        <v>556</v>
      </c>
      <c r="P717" t="s">
        <v>557</v>
      </c>
      <c r="Q717" t="s">
        <v>406</v>
      </c>
    </row>
    <row r="718" spans="2:17" customFormat="1" ht="15" hidden="1" x14ac:dyDescent="0.25">
      <c r="B718">
        <v>10846</v>
      </c>
      <c r="C718" t="s">
        <v>553</v>
      </c>
      <c r="D718" s="1">
        <v>35817</v>
      </c>
      <c r="E718" s="1" t="str">
        <f t="shared" ref="E718:E781" si="33">TEXT(D718,"mmm")</f>
        <v>jan</v>
      </c>
      <c r="F718" s="1" t="str">
        <f t="shared" ref="F718:F781" si="34">TEXT(D718,"aaa")</f>
        <v>1998</v>
      </c>
      <c r="G718" s="1">
        <v>35859</v>
      </c>
      <c r="H718" s="1">
        <v>35818</v>
      </c>
      <c r="I718">
        <v>3</v>
      </c>
      <c r="J718" t="str">
        <f t="shared" ref="J718:J781" si="35">CHOOSE(I718,"UPS","USPS","DHL")</f>
        <v>DHL</v>
      </c>
      <c r="K718">
        <v>56.46</v>
      </c>
      <c r="L718" t="s">
        <v>15</v>
      </c>
      <c r="M718" t="s">
        <v>555</v>
      </c>
      <c r="N718" t="s">
        <v>556</v>
      </c>
      <c r="P718" t="s">
        <v>557</v>
      </c>
      <c r="Q718" t="s">
        <v>406</v>
      </c>
    </row>
    <row r="719" spans="2:17" customFormat="1" ht="15" hidden="1" x14ac:dyDescent="0.25">
      <c r="B719">
        <v>10885</v>
      </c>
      <c r="C719" t="s">
        <v>553</v>
      </c>
      <c r="D719" s="1">
        <v>35838</v>
      </c>
      <c r="E719" s="1" t="str">
        <f t="shared" si="33"/>
        <v>fev</v>
      </c>
      <c r="F719" s="1" t="str">
        <f t="shared" si="34"/>
        <v>1998</v>
      </c>
      <c r="G719" s="1">
        <v>35866</v>
      </c>
      <c r="H719" s="1">
        <v>35844</v>
      </c>
      <c r="I719">
        <v>3</v>
      </c>
      <c r="J719" t="str">
        <f t="shared" si="35"/>
        <v>DHL</v>
      </c>
      <c r="K719">
        <v>5.64</v>
      </c>
      <c r="L719" t="s">
        <v>15</v>
      </c>
      <c r="M719" t="s">
        <v>555</v>
      </c>
      <c r="N719" t="s">
        <v>556</v>
      </c>
      <c r="P719" t="s">
        <v>557</v>
      </c>
      <c r="Q719" t="s">
        <v>406</v>
      </c>
    </row>
    <row r="720" spans="2:17" customFormat="1" ht="15" hidden="1" x14ac:dyDescent="0.25">
      <c r="B720">
        <v>10930</v>
      </c>
      <c r="C720" t="s">
        <v>553</v>
      </c>
      <c r="D720" s="1">
        <v>35860</v>
      </c>
      <c r="E720" s="1" t="str">
        <f t="shared" si="33"/>
        <v>mar</v>
      </c>
      <c r="F720" s="1" t="str">
        <f t="shared" si="34"/>
        <v>1998</v>
      </c>
      <c r="G720" s="1">
        <v>35902</v>
      </c>
      <c r="H720" s="1">
        <v>35872</v>
      </c>
      <c r="I720">
        <v>3</v>
      </c>
      <c r="J720" t="str">
        <f t="shared" si="35"/>
        <v>DHL</v>
      </c>
      <c r="K720">
        <v>15.55</v>
      </c>
      <c r="L720" t="s">
        <v>15</v>
      </c>
      <c r="M720" t="s">
        <v>555</v>
      </c>
      <c r="N720" t="s">
        <v>556</v>
      </c>
      <c r="P720" t="s">
        <v>557</v>
      </c>
      <c r="Q720" t="s">
        <v>406</v>
      </c>
    </row>
    <row r="721" spans="2:17" customFormat="1" ht="15" hidden="1" x14ac:dyDescent="0.25">
      <c r="B721">
        <v>11035</v>
      </c>
      <c r="C721" t="s">
        <v>553</v>
      </c>
      <c r="D721" s="1">
        <v>35905</v>
      </c>
      <c r="E721" s="1" t="str">
        <f t="shared" si="33"/>
        <v>abr</v>
      </c>
      <c r="F721" s="1" t="str">
        <f t="shared" si="34"/>
        <v>1998</v>
      </c>
      <c r="G721" s="1">
        <v>35933</v>
      </c>
      <c r="H721" s="1">
        <v>35909</v>
      </c>
      <c r="I721">
        <v>2</v>
      </c>
      <c r="J721" t="str">
        <f t="shared" si="35"/>
        <v>USPS</v>
      </c>
      <c r="K721">
        <v>0.17</v>
      </c>
      <c r="L721" t="s">
        <v>15</v>
      </c>
      <c r="M721" t="s">
        <v>555</v>
      </c>
      <c r="N721" t="s">
        <v>556</v>
      </c>
      <c r="P721" t="s">
        <v>557</v>
      </c>
      <c r="Q721" t="s">
        <v>406</v>
      </c>
    </row>
    <row r="722" spans="2:17" customFormat="1" ht="15" hidden="1" x14ac:dyDescent="0.25">
      <c r="B722">
        <v>11038</v>
      </c>
      <c r="C722" t="s">
        <v>553</v>
      </c>
      <c r="D722" s="1">
        <v>35906</v>
      </c>
      <c r="E722" s="1" t="str">
        <f t="shared" si="33"/>
        <v>abr</v>
      </c>
      <c r="F722" s="1" t="str">
        <f t="shared" si="34"/>
        <v>1998</v>
      </c>
      <c r="G722" s="1">
        <v>35934</v>
      </c>
      <c r="H722" s="1">
        <v>35915</v>
      </c>
      <c r="I722">
        <v>2</v>
      </c>
      <c r="J722" t="str">
        <f t="shared" si="35"/>
        <v>USPS</v>
      </c>
      <c r="K722">
        <v>29.59</v>
      </c>
      <c r="L722" t="s">
        <v>15</v>
      </c>
      <c r="M722" t="s">
        <v>555</v>
      </c>
      <c r="N722" t="s">
        <v>556</v>
      </c>
      <c r="P722" t="s">
        <v>557</v>
      </c>
      <c r="Q722" t="s">
        <v>406</v>
      </c>
    </row>
    <row r="723" spans="2:17" customFormat="1" ht="15" hidden="1" x14ac:dyDescent="0.25">
      <c r="B723">
        <v>10310</v>
      </c>
      <c r="C723" t="s">
        <v>559</v>
      </c>
      <c r="D723" s="1">
        <v>35328</v>
      </c>
      <c r="E723" s="1" t="str">
        <f t="shared" si="33"/>
        <v>set</v>
      </c>
      <c r="F723" s="1" t="str">
        <f t="shared" si="34"/>
        <v>1996</v>
      </c>
      <c r="G723" s="1">
        <v>35356</v>
      </c>
      <c r="H723" s="1">
        <v>35335</v>
      </c>
      <c r="I723">
        <v>2</v>
      </c>
      <c r="J723" t="str">
        <f t="shared" si="35"/>
        <v>USPS</v>
      </c>
      <c r="K723">
        <v>17.52</v>
      </c>
      <c r="L723" t="s">
        <v>14</v>
      </c>
      <c r="M723" t="s">
        <v>561</v>
      </c>
      <c r="N723" t="s">
        <v>392</v>
      </c>
      <c r="O723" t="s">
        <v>288</v>
      </c>
      <c r="P723" t="s">
        <v>562</v>
      </c>
      <c r="Q723" t="s">
        <v>290</v>
      </c>
    </row>
    <row r="724" spans="2:17" customFormat="1" ht="15" hidden="1" x14ac:dyDescent="0.25">
      <c r="B724">
        <v>10708</v>
      </c>
      <c r="C724" t="s">
        <v>559</v>
      </c>
      <c r="D724" s="1">
        <v>35720</v>
      </c>
      <c r="E724" s="1" t="str">
        <f t="shared" si="33"/>
        <v>out</v>
      </c>
      <c r="F724" s="1" t="str">
        <f t="shared" si="34"/>
        <v>1997</v>
      </c>
      <c r="G724" s="1">
        <v>35762</v>
      </c>
      <c r="H724" s="1">
        <v>35739</v>
      </c>
      <c r="I724">
        <v>2</v>
      </c>
      <c r="J724" t="str">
        <f t="shared" si="35"/>
        <v>USPS</v>
      </c>
      <c r="K724">
        <v>2.96</v>
      </c>
      <c r="L724" t="s">
        <v>14</v>
      </c>
      <c r="M724" t="s">
        <v>561</v>
      </c>
      <c r="N724" t="s">
        <v>392</v>
      </c>
      <c r="O724" t="s">
        <v>288</v>
      </c>
      <c r="P724" t="s">
        <v>562</v>
      </c>
      <c r="Q724" t="s">
        <v>290</v>
      </c>
    </row>
    <row r="725" spans="2:17" customFormat="1" ht="15" hidden="1" x14ac:dyDescent="0.25">
      <c r="B725">
        <v>10805</v>
      </c>
      <c r="C725" t="s">
        <v>559</v>
      </c>
      <c r="D725" s="1">
        <v>35794</v>
      </c>
      <c r="E725" s="1" t="str">
        <f t="shared" si="33"/>
        <v>dez</v>
      </c>
      <c r="F725" s="1" t="str">
        <f t="shared" si="34"/>
        <v>1997</v>
      </c>
      <c r="G725" s="1">
        <v>35822</v>
      </c>
      <c r="H725" s="1">
        <v>35804</v>
      </c>
      <c r="I725">
        <v>3</v>
      </c>
      <c r="J725" t="str">
        <f t="shared" si="35"/>
        <v>DHL</v>
      </c>
      <c r="K725">
        <v>237.34</v>
      </c>
      <c r="L725" t="s">
        <v>14</v>
      </c>
      <c r="M725" t="s">
        <v>561</v>
      </c>
      <c r="N725" t="s">
        <v>392</v>
      </c>
      <c r="O725" t="s">
        <v>288</v>
      </c>
      <c r="P725" t="s">
        <v>562</v>
      </c>
      <c r="Q725" t="s">
        <v>290</v>
      </c>
    </row>
    <row r="726" spans="2:17" customFormat="1" ht="15" hidden="1" x14ac:dyDescent="0.25">
      <c r="B726">
        <v>10992</v>
      </c>
      <c r="C726" t="s">
        <v>559</v>
      </c>
      <c r="D726" s="1">
        <v>35886</v>
      </c>
      <c r="E726" s="1" t="str">
        <f t="shared" si="33"/>
        <v>abr</v>
      </c>
      <c r="F726" s="1" t="str">
        <f t="shared" si="34"/>
        <v>1998</v>
      </c>
      <c r="G726" s="1">
        <v>35914</v>
      </c>
      <c r="H726" s="1">
        <v>35888</v>
      </c>
      <c r="I726">
        <v>3</v>
      </c>
      <c r="J726" t="str">
        <f t="shared" si="35"/>
        <v>DHL</v>
      </c>
      <c r="K726">
        <v>4.2699999999999996</v>
      </c>
      <c r="L726" t="s">
        <v>14</v>
      </c>
      <c r="M726" t="s">
        <v>561</v>
      </c>
      <c r="N726" t="s">
        <v>392</v>
      </c>
      <c r="O726" t="s">
        <v>288</v>
      </c>
      <c r="P726" t="s">
        <v>562</v>
      </c>
      <c r="Q726" t="s">
        <v>290</v>
      </c>
    </row>
    <row r="727" spans="2:17" customFormat="1" ht="15" hidden="1" x14ac:dyDescent="0.25">
      <c r="B727">
        <v>10624</v>
      </c>
      <c r="C727" t="s">
        <v>564</v>
      </c>
      <c r="D727" s="1">
        <v>35649</v>
      </c>
      <c r="E727" s="1" t="str">
        <f t="shared" si="33"/>
        <v>ago</v>
      </c>
      <c r="F727" s="1" t="str">
        <f t="shared" si="34"/>
        <v>1997</v>
      </c>
      <c r="G727" s="1">
        <v>35677</v>
      </c>
      <c r="H727" s="1">
        <v>35661</v>
      </c>
      <c r="I727">
        <v>2</v>
      </c>
      <c r="J727" t="str">
        <f t="shared" si="35"/>
        <v>USPS</v>
      </c>
      <c r="K727">
        <v>94.8</v>
      </c>
      <c r="L727" t="s">
        <v>13</v>
      </c>
      <c r="M727" t="s">
        <v>566</v>
      </c>
      <c r="N727" t="s">
        <v>567</v>
      </c>
      <c r="O727" t="s">
        <v>568</v>
      </c>
      <c r="P727" t="s">
        <v>569</v>
      </c>
      <c r="Q727" t="s">
        <v>290</v>
      </c>
    </row>
    <row r="728" spans="2:17" customFormat="1" ht="15" hidden="1" x14ac:dyDescent="0.25">
      <c r="B728">
        <v>10775</v>
      </c>
      <c r="C728" t="s">
        <v>564</v>
      </c>
      <c r="D728" s="1">
        <v>35776</v>
      </c>
      <c r="E728" s="1" t="str">
        <f t="shared" si="33"/>
        <v>dez</v>
      </c>
      <c r="F728" s="1" t="str">
        <f t="shared" si="34"/>
        <v>1997</v>
      </c>
      <c r="G728" s="1">
        <v>35804</v>
      </c>
      <c r="H728" s="1">
        <v>35790</v>
      </c>
      <c r="I728">
        <v>1</v>
      </c>
      <c r="J728" t="str">
        <f t="shared" si="35"/>
        <v>UPS</v>
      </c>
      <c r="K728">
        <v>20.25</v>
      </c>
      <c r="L728" t="s">
        <v>13</v>
      </c>
      <c r="M728" t="s">
        <v>566</v>
      </c>
      <c r="N728" t="s">
        <v>567</v>
      </c>
      <c r="O728" t="s">
        <v>568</v>
      </c>
      <c r="P728" t="s">
        <v>569</v>
      </c>
      <c r="Q728" t="s">
        <v>290</v>
      </c>
    </row>
    <row r="729" spans="2:17" customFormat="1" ht="15" hidden="1" x14ac:dyDescent="0.25">
      <c r="B729">
        <v>11003</v>
      </c>
      <c r="C729" t="s">
        <v>564</v>
      </c>
      <c r="D729" s="1">
        <v>35891</v>
      </c>
      <c r="E729" s="1" t="str">
        <f t="shared" si="33"/>
        <v>abr</v>
      </c>
      <c r="F729" s="1" t="str">
        <f t="shared" si="34"/>
        <v>1998</v>
      </c>
      <c r="G729" s="1">
        <v>35919</v>
      </c>
      <c r="H729" s="1">
        <v>35893</v>
      </c>
      <c r="I729">
        <v>3</v>
      </c>
      <c r="J729" t="str">
        <f t="shared" si="35"/>
        <v>DHL</v>
      </c>
      <c r="K729">
        <v>14.91</v>
      </c>
      <c r="L729" t="s">
        <v>13</v>
      </c>
      <c r="M729" t="s">
        <v>566</v>
      </c>
      <c r="N729" t="s">
        <v>567</v>
      </c>
      <c r="O729" t="s">
        <v>568</v>
      </c>
      <c r="P729" t="s">
        <v>569</v>
      </c>
      <c r="Q729" t="s">
        <v>290</v>
      </c>
    </row>
    <row r="730" spans="2:17" customFormat="1" ht="15" hidden="1" x14ac:dyDescent="0.25">
      <c r="B730">
        <v>10438</v>
      </c>
      <c r="C730" t="s">
        <v>571</v>
      </c>
      <c r="D730" s="1">
        <v>35467</v>
      </c>
      <c r="E730" s="1" t="str">
        <f t="shared" si="33"/>
        <v>fev</v>
      </c>
      <c r="F730" s="1" t="str">
        <f t="shared" si="34"/>
        <v>1997</v>
      </c>
      <c r="G730" s="1">
        <v>35495</v>
      </c>
      <c r="H730" s="1">
        <v>35475</v>
      </c>
      <c r="I730">
        <v>2</v>
      </c>
      <c r="J730" t="str">
        <f t="shared" si="35"/>
        <v>USPS</v>
      </c>
      <c r="K730">
        <v>8.24</v>
      </c>
      <c r="L730" t="s">
        <v>11</v>
      </c>
      <c r="M730" t="s">
        <v>573</v>
      </c>
      <c r="N730" t="s">
        <v>574</v>
      </c>
      <c r="P730" t="s">
        <v>575</v>
      </c>
      <c r="Q730" t="s">
        <v>94</v>
      </c>
    </row>
    <row r="731" spans="2:17" customFormat="1" ht="15" hidden="1" x14ac:dyDescent="0.25">
      <c r="B731">
        <v>10446</v>
      </c>
      <c r="C731" t="s">
        <v>571</v>
      </c>
      <c r="D731" s="1">
        <v>35475</v>
      </c>
      <c r="E731" s="1" t="str">
        <f t="shared" si="33"/>
        <v>fev</v>
      </c>
      <c r="F731" s="1" t="str">
        <f t="shared" si="34"/>
        <v>1997</v>
      </c>
      <c r="G731" s="1">
        <v>35503</v>
      </c>
      <c r="H731" s="1">
        <v>35480</v>
      </c>
      <c r="I731">
        <v>1</v>
      </c>
      <c r="J731" t="str">
        <f t="shared" si="35"/>
        <v>UPS</v>
      </c>
      <c r="K731">
        <v>14.68</v>
      </c>
      <c r="L731" t="s">
        <v>11</v>
      </c>
      <c r="M731" t="s">
        <v>573</v>
      </c>
      <c r="N731" t="s">
        <v>574</v>
      </c>
      <c r="P731" t="s">
        <v>575</v>
      </c>
      <c r="Q731" t="s">
        <v>94</v>
      </c>
    </row>
    <row r="732" spans="2:17" customFormat="1" ht="15" hidden="1" x14ac:dyDescent="0.25">
      <c r="B732">
        <v>10548</v>
      </c>
      <c r="C732" t="s">
        <v>571</v>
      </c>
      <c r="D732" s="1">
        <v>35576</v>
      </c>
      <c r="E732" s="1" t="str">
        <f t="shared" si="33"/>
        <v>mai</v>
      </c>
      <c r="F732" s="1" t="str">
        <f t="shared" si="34"/>
        <v>1997</v>
      </c>
      <c r="G732" s="1">
        <v>35604</v>
      </c>
      <c r="H732" s="1">
        <v>35583</v>
      </c>
      <c r="I732">
        <v>2</v>
      </c>
      <c r="J732" t="str">
        <f t="shared" si="35"/>
        <v>USPS</v>
      </c>
      <c r="K732">
        <v>1.43</v>
      </c>
      <c r="L732" t="s">
        <v>11</v>
      </c>
      <c r="M732" t="s">
        <v>573</v>
      </c>
      <c r="N732" t="s">
        <v>574</v>
      </c>
      <c r="P732" t="s">
        <v>575</v>
      </c>
      <c r="Q732" t="s">
        <v>94</v>
      </c>
    </row>
    <row r="733" spans="2:17" customFormat="1" ht="15" hidden="1" x14ac:dyDescent="0.25">
      <c r="B733">
        <v>10608</v>
      </c>
      <c r="C733" t="s">
        <v>571</v>
      </c>
      <c r="D733" s="1">
        <v>35634</v>
      </c>
      <c r="E733" s="1" t="str">
        <f t="shared" si="33"/>
        <v>jul</v>
      </c>
      <c r="F733" s="1" t="str">
        <f t="shared" si="34"/>
        <v>1997</v>
      </c>
      <c r="G733" s="1">
        <v>35662</v>
      </c>
      <c r="H733" s="1">
        <v>35643</v>
      </c>
      <c r="I733">
        <v>2</v>
      </c>
      <c r="J733" t="str">
        <f t="shared" si="35"/>
        <v>USPS</v>
      </c>
      <c r="K733">
        <v>27.79</v>
      </c>
      <c r="L733" t="s">
        <v>11</v>
      </c>
      <c r="M733" t="s">
        <v>573</v>
      </c>
      <c r="N733" t="s">
        <v>574</v>
      </c>
      <c r="P733" t="s">
        <v>575</v>
      </c>
      <c r="Q733" t="s">
        <v>94</v>
      </c>
    </row>
    <row r="734" spans="2:17" customFormat="1" ht="15" hidden="1" x14ac:dyDescent="0.25">
      <c r="B734">
        <v>10967</v>
      </c>
      <c r="C734" t="s">
        <v>571</v>
      </c>
      <c r="D734" s="1">
        <v>35877</v>
      </c>
      <c r="E734" s="1" t="str">
        <f t="shared" si="33"/>
        <v>mar</v>
      </c>
      <c r="F734" s="1" t="str">
        <f t="shared" si="34"/>
        <v>1998</v>
      </c>
      <c r="G734" s="1">
        <v>35905</v>
      </c>
      <c r="H734" s="1">
        <v>35887</v>
      </c>
      <c r="I734">
        <v>2</v>
      </c>
      <c r="J734" t="str">
        <f t="shared" si="35"/>
        <v>USPS</v>
      </c>
      <c r="K734">
        <v>62.22</v>
      </c>
      <c r="L734" t="s">
        <v>11</v>
      </c>
      <c r="M734" t="s">
        <v>573</v>
      </c>
      <c r="N734" t="s">
        <v>574</v>
      </c>
      <c r="P734" t="s">
        <v>575</v>
      </c>
      <c r="Q734" t="s">
        <v>94</v>
      </c>
    </row>
    <row r="735" spans="2:17" customFormat="1" ht="15" hidden="1" x14ac:dyDescent="0.25">
      <c r="B735">
        <v>10276</v>
      </c>
      <c r="C735" t="s">
        <v>577</v>
      </c>
      <c r="D735" s="1">
        <v>35285</v>
      </c>
      <c r="E735" s="1" t="str">
        <f t="shared" si="33"/>
        <v>ago</v>
      </c>
      <c r="F735" s="1" t="str">
        <f t="shared" si="34"/>
        <v>1996</v>
      </c>
      <c r="G735" s="1">
        <v>35299</v>
      </c>
      <c r="H735" s="1">
        <v>35291</v>
      </c>
      <c r="I735">
        <v>3</v>
      </c>
      <c r="J735" t="str">
        <f t="shared" si="35"/>
        <v>DHL</v>
      </c>
      <c r="K735">
        <v>13.84</v>
      </c>
      <c r="L735" t="s">
        <v>12</v>
      </c>
      <c r="M735" t="s">
        <v>579</v>
      </c>
      <c r="N735" t="s">
        <v>100</v>
      </c>
      <c r="P735" t="s">
        <v>453</v>
      </c>
      <c r="Q735" t="s">
        <v>102</v>
      </c>
    </row>
    <row r="736" spans="2:17" customFormat="1" ht="15" hidden="1" x14ac:dyDescent="0.25">
      <c r="B736">
        <v>10293</v>
      </c>
      <c r="C736" t="s">
        <v>577</v>
      </c>
      <c r="D736" s="1">
        <v>35306</v>
      </c>
      <c r="E736" s="1" t="str">
        <f t="shared" si="33"/>
        <v>ago</v>
      </c>
      <c r="F736" s="1" t="str">
        <f t="shared" si="34"/>
        <v>1996</v>
      </c>
      <c r="G736" s="1">
        <v>35334</v>
      </c>
      <c r="H736" s="1">
        <v>35319</v>
      </c>
      <c r="I736">
        <v>3</v>
      </c>
      <c r="J736" t="str">
        <f t="shared" si="35"/>
        <v>DHL</v>
      </c>
      <c r="K736">
        <v>21.18</v>
      </c>
      <c r="L736" t="s">
        <v>12</v>
      </c>
      <c r="M736" t="s">
        <v>579</v>
      </c>
      <c r="N736" t="s">
        <v>100</v>
      </c>
      <c r="P736" t="s">
        <v>453</v>
      </c>
      <c r="Q736" t="s">
        <v>102</v>
      </c>
    </row>
    <row r="737" spans="2:17" customFormat="1" ht="15" hidden="1" x14ac:dyDescent="0.25">
      <c r="B737">
        <v>10304</v>
      </c>
      <c r="C737" t="s">
        <v>577</v>
      </c>
      <c r="D737" s="1">
        <v>35320</v>
      </c>
      <c r="E737" s="1" t="str">
        <f t="shared" si="33"/>
        <v>set</v>
      </c>
      <c r="F737" s="1" t="str">
        <f t="shared" si="34"/>
        <v>1996</v>
      </c>
      <c r="G737" s="1">
        <v>35348</v>
      </c>
      <c r="H737" s="1">
        <v>35325</v>
      </c>
      <c r="I737">
        <v>2</v>
      </c>
      <c r="J737" t="str">
        <f t="shared" si="35"/>
        <v>USPS</v>
      </c>
      <c r="K737">
        <v>63.79</v>
      </c>
      <c r="L737" t="s">
        <v>12</v>
      </c>
      <c r="M737" t="s">
        <v>579</v>
      </c>
      <c r="N737" t="s">
        <v>100</v>
      </c>
      <c r="P737" t="s">
        <v>453</v>
      </c>
      <c r="Q737" t="s">
        <v>102</v>
      </c>
    </row>
    <row r="738" spans="2:17" customFormat="1" ht="15" hidden="1" x14ac:dyDescent="0.25">
      <c r="B738">
        <v>10319</v>
      </c>
      <c r="C738" t="s">
        <v>577</v>
      </c>
      <c r="D738" s="1">
        <v>35340</v>
      </c>
      <c r="E738" s="1" t="str">
        <f t="shared" si="33"/>
        <v>out</v>
      </c>
      <c r="F738" s="1" t="str">
        <f t="shared" si="34"/>
        <v>1996</v>
      </c>
      <c r="G738" s="1">
        <v>35368</v>
      </c>
      <c r="H738" s="1">
        <v>35349</v>
      </c>
      <c r="I738">
        <v>3</v>
      </c>
      <c r="J738" t="str">
        <f t="shared" si="35"/>
        <v>DHL</v>
      </c>
      <c r="K738">
        <v>64.5</v>
      </c>
      <c r="L738" t="s">
        <v>12</v>
      </c>
      <c r="M738" t="s">
        <v>579</v>
      </c>
      <c r="N738" t="s">
        <v>100</v>
      </c>
      <c r="P738" t="s">
        <v>453</v>
      </c>
      <c r="Q738" t="s">
        <v>102</v>
      </c>
    </row>
    <row r="739" spans="2:17" customFormat="1" ht="15" hidden="1" x14ac:dyDescent="0.25">
      <c r="B739">
        <v>10518</v>
      </c>
      <c r="C739" t="s">
        <v>577</v>
      </c>
      <c r="D739" s="1">
        <v>35545</v>
      </c>
      <c r="E739" s="1" t="str">
        <f t="shared" si="33"/>
        <v>abr</v>
      </c>
      <c r="F739" s="1" t="str">
        <f t="shared" si="34"/>
        <v>1997</v>
      </c>
      <c r="G739" s="1">
        <v>35559</v>
      </c>
      <c r="H739" s="1">
        <v>35555</v>
      </c>
      <c r="I739">
        <v>2</v>
      </c>
      <c r="J739" t="str">
        <f t="shared" si="35"/>
        <v>USPS</v>
      </c>
      <c r="K739">
        <v>218.15</v>
      </c>
      <c r="L739" t="s">
        <v>12</v>
      </c>
      <c r="M739" t="s">
        <v>579</v>
      </c>
      <c r="N739" t="s">
        <v>100</v>
      </c>
      <c r="P739" t="s">
        <v>453</v>
      </c>
      <c r="Q739" t="s">
        <v>102</v>
      </c>
    </row>
    <row r="740" spans="2:17" customFormat="1" ht="15" hidden="1" x14ac:dyDescent="0.25">
      <c r="B740">
        <v>10576</v>
      </c>
      <c r="C740" t="s">
        <v>577</v>
      </c>
      <c r="D740" s="1">
        <v>35604</v>
      </c>
      <c r="E740" s="1" t="str">
        <f t="shared" si="33"/>
        <v>jun</v>
      </c>
      <c r="F740" s="1" t="str">
        <f t="shared" si="34"/>
        <v>1997</v>
      </c>
      <c r="G740" s="1">
        <v>35618</v>
      </c>
      <c r="H740" s="1">
        <v>35611</v>
      </c>
      <c r="I740">
        <v>3</v>
      </c>
      <c r="J740" t="str">
        <f t="shared" si="35"/>
        <v>DHL</v>
      </c>
      <c r="K740">
        <v>18.559999999999999</v>
      </c>
      <c r="L740" t="s">
        <v>12</v>
      </c>
      <c r="M740" t="s">
        <v>579</v>
      </c>
      <c r="N740" t="s">
        <v>100</v>
      </c>
      <c r="P740" t="s">
        <v>453</v>
      </c>
      <c r="Q740" t="s">
        <v>102</v>
      </c>
    </row>
    <row r="741" spans="2:17" customFormat="1" ht="15" hidden="1" x14ac:dyDescent="0.25">
      <c r="B741">
        <v>10676</v>
      </c>
      <c r="C741" t="s">
        <v>577</v>
      </c>
      <c r="D741" s="1">
        <v>35695</v>
      </c>
      <c r="E741" s="1" t="str">
        <f t="shared" si="33"/>
        <v>set</v>
      </c>
      <c r="F741" s="1" t="str">
        <f t="shared" si="34"/>
        <v>1997</v>
      </c>
      <c r="G741" s="1">
        <v>35723</v>
      </c>
      <c r="H741" s="1">
        <v>35702</v>
      </c>
      <c r="I741">
        <v>2</v>
      </c>
      <c r="J741" t="str">
        <f t="shared" si="35"/>
        <v>USPS</v>
      </c>
      <c r="K741">
        <v>2.0099999999999998</v>
      </c>
      <c r="L741" t="s">
        <v>12</v>
      </c>
      <c r="M741" t="s">
        <v>579</v>
      </c>
      <c r="N741" t="s">
        <v>100</v>
      </c>
      <c r="P741" t="s">
        <v>453</v>
      </c>
      <c r="Q741" t="s">
        <v>102</v>
      </c>
    </row>
    <row r="742" spans="2:17" customFormat="1" ht="15" hidden="1" x14ac:dyDescent="0.25">
      <c r="B742">
        <v>10842</v>
      </c>
      <c r="C742" t="s">
        <v>577</v>
      </c>
      <c r="D742" s="1">
        <v>35815</v>
      </c>
      <c r="E742" s="1" t="str">
        <f t="shared" si="33"/>
        <v>jan</v>
      </c>
      <c r="F742" s="1" t="str">
        <f t="shared" si="34"/>
        <v>1998</v>
      </c>
      <c r="G742" s="1">
        <v>35843</v>
      </c>
      <c r="H742" s="1">
        <v>35824</v>
      </c>
      <c r="I742">
        <v>3</v>
      </c>
      <c r="J742" t="str">
        <f t="shared" si="35"/>
        <v>DHL</v>
      </c>
      <c r="K742">
        <v>54.42</v>
      </c>
      <c r="L742" t="s">
        <v>12</v>
      </c>
      <c r="M742" t="s">
        <v>579</v>
      </c>
      <c r="N742" t="s">
        <v>100</v>
      </c>
      <c r="P742" t="s">
        <v>453</v>
      </c>
      <c r="Q742" t="s">
        <v>102</v>
      </c>
    </row>
    <row r="743" spans="2:17" customFormat="1" ht="15" hidden="1" x14ac:dyDescent="0.25">
      <c r="B743">
        <v>10915</v>
      </c>
      <c r="C743" t="s">
        <v>577</v>
      </c>
      <c r="D743" s="1">
        <v>35853</v>
      </c>
      <c r="E743" s="1" t="str">
        <f t="shared" si="33"/>
        <v>fev</v>
      </c>
      <c r="F743" s="1" t="str">
        <f t="shared" si="34"/>
        <v>1998</v>
      </c>
      <c r="G743" s="1">
        <v>35881</v>
      </c>
      <c r="H743" s="1">
        <v>35856</v>
      </c>
      <c r="I743">
        <v>2</v>
      </c>
      <c r="J743" t="str">
        <f t="shared" si="35"/>
        <v>USPS</v>
      </c>
      <c r="K743">
        <v>3.51</v>
      </c>
      <c r="L743" t="s">
        <v>12</v>
      </c>
      <c r="M743" t="s">
        <v>579</v>
      </c>
      <c r="N743" t="s">
        <v>100</v>
      </c>
      <c r="P743" t="s">
        <v>453</v>
      </c>
      <c r="Q743" t="s">
        <v>102</v>
      </c>
    </row>
    <row r="744" spans="2:17" customFormat="1" ht="15" hidden="1" x14ac:dyDescent="0.25">
      <c r="B744">
        <v>11069</v>
      </c>
      <c r="C744" t="s">
        <v>577</v>
      </c>
      <c r="D744" s="1">
        <v>35919</v>
      </c>
      <c r="E744" s="1" t="str">
        <f t="shared" si="33"/>
        <v>mai</v>
      </c>
      <c r="F744" s="1" t="str">
        <f t="shared" si="34"/>
        <v>1998</v>
      </c>
      <c r="G744" s="1">
        <v>35947</v>
      </c>
      <c r="H744" s="1">
        <v>35921</v>
      </c>
      <c r="I744">
        <v>2</v>
      </c>
      <c r="J744" t="str">
        <f t="shared" si="35"/>
        <v>USPS</v>
      </c>
      <c r="K744">
        <v>15.67</v>
      </c>
      <c r="L744" t="s">
        <v>12</v>
      </c>
      <c r="M744" t="s">
        <v>579</v>
      </c>
      <c r="N744" t="s">
        <v>100</v>
      </c>
      <c r="P744" t="s">
        <v>453</v>
      </c>
      <c r="Q744" t="s">
        <v>102</v>
      </c>
    </row>
    <row r="745" spans="2:17" customFormat="1" ht="15" hidden="1" x14ac:dyDescent="0.25">
      <c r="B745">
        <v>10249</v>
      </c>
      <c r="C745" t="s">
        <v>581</v>
      </c>
      <c r="D745" s="1">
        <v>35251</v>
      </c>
      <c r="E745" s="1" t="str">
        <f t="shared" si="33"/>
        <v>jul</v>
      </c>
      <c r="F745" s="1" t="str">
        <f t="shared" si="34"/>
        <v>1996</v>
      </c>
      <c r="G745" s="1">
        <v>35293</v>
      </c>
      <c r="H745" s="1">
        <v>35256</v>
      </c>
      <c r="I745">
        <v>1</v>
      </c>
      <c r="J745" t="str">
        <f t="shared" si="35"/>
        <v>UPS</v>
      </c>
      <c r="K745">
        <v>11.61</v>
      </c>
      <c r="L745" t="s">
        <v>11</v>
      </c>
      <c r="M745" t="s">
        <v>573</v>
      </c>
      <c r="N745" t="s">
        <v>574</v>
      </c>
      <c r="P745" t="s">
        <v>575</v>
      </c>
      <c r="Q745" t="s">
        <v>94</v>
      </c>
    </row>
    <row r="746" spans="2:17" customFormat="1" ht="15" hidden="1" x14ac:dyDescent="0.25">
      <c r="B746">
        <v>10292</v>
      </c>
      <c r="C746" t="s">
        <v>581</v>
      </c>
      <c r="D746" s="1">
        <v>35305</v>
      </c>
      <c r="E746" s="1" t="str">
        <f t="shared" si="33"/>
        <v>ago</v>
      </c>
      <c r="F746" s="1" t="str">
        <f t="shared" si="34"/>
        <v>1996</v>
      </c>
      <c r="G746" s="1">
        <v>35333</v>
      </c>
      <c r="H746" s="1">
        <v>35310</v>
      </c>
      <c r="I746">
        <v>2</v>
      </c>
      <c r="J746" t="str">
        <f t="shared" si="35"/>
        <v>USPS</v>
      </c>
      <c r="K746" s="16">
        <v>1.35</v>
      </c>
      <c r="L746" t="s">
        <v>10</v>
      </c>
      <c r="M746" t="s">
        <v>583</v>
      </c>
      <c r="N746" t="s">
        <v>186</v>
      </c>
      <c r="O746" t="s">
        <v>187</v>
      </c>
      <c r="P746" t="s">
        <v>584</v>
      </c>
      <c r="Q746" t="s">
        <v>189</v>
      </c>
    </row>
    <row r="747" spans="2:17" customFormat="1" ht="15" hidden="1" x14ac:dyDescent="0.25">
      <c r="B747">
        <v>10496</v>
      </c>
      <c r="C747" t="s">
        <v>581</v>
      </c>
      <c r="D747" s="1">
        <v>35524</v>
      </c>
      <c r="E747" s="1" t="str">
        <f t="shared" si="33"/>
        <v>abr</v>
      </c>
      <c r="F747" s="1" t="str">
        <f t="shared" si="34"/>
        <v>1997</v>
      </c>
      <c r="G747" s="1">
        <v>35552</v>
      </c>
      <c r="H747" s="1">
        <v>35527</v>
      </c>
      <c r="I747">
        <v>2</v>
      </c>
      <c r="J747" t="str">
        <f t="shared" si="35"/>
        <v>USPS</v>
      </c>
      <c r="K747" s="16">
        <v>46.77</v>
      </c>
      <c r="L747" t="s">
        <v>10</v>
      </c>
      <c r="M747" t="s">
        <v>583</v>
      </c>
      <c r="N747" t="s">
        <v>186</v>
      </c>
      <c r="O747" t="s">
        <v>187</v>
      </c>
      <c r="P747" t="s">
        <v>584</v>
      </c>
      <c r="Q747" t="s">
        <v>189</v>
      </c>
    </row>
    <row r="748" spans="2:17" customFormat="1" ht="15" hidden="1" x14ac:dyDescent="0.25">
      <c r="B748">
        <v>10606</v>
      </c>
      <c r="C748" t="s">
        <v>581</v>
      </c>
      <c r="D748" s="1">
        <v>35633</v>
      </c>
      <c r="E748" s="1" t="str">
        <f t="shared" si="33"/>
        <v>jul</v>
      </c>
      <c r="F748" s="1" t="str">
        <f t="shared" si="34"/>
        <v>1997</v>
      </c>
      <c r="G748" s="1">
        <v>35661</v>
      </c>
      <c r="H748" s="1">
        <v>35642</v>
      </c>
      <c r="I748">
        <v>3</v>
      </c>
      <c r="J748" t="str">
        <f t="shared" si="35"/>
        <v>DHL</v>
      </c>
      <c r="K748" s="16">
        <v>79.400000000000006</v>
      </c>
      <c r="L748" t="s">
        <v>10</v>
      </c>
      <c r="M748" t="s">
        <v>583</v>
      </c>
      <c r="N748" t="s">
        <v>186</v>
      </c>
      <c r="O748" t="s">
        <v>187</v>
      </c>
      <c r="P748" t="s">
        <v>584</v>
      </c>
      <c r="Q748" t="s">
        <v>189</v>
      </c>
    </row>
    <row r="749" spans="2:17" customFormat="1" ht="15" hidden="1" x14ac:dyDescent="0.25">
      <c r="B749">
        <v>10830</v>
      </c>
      <c r="C749" t="s">
        <v>581</v>
      </c>
      <c r="D749" s="1">
        <v>35808</v>
      </c>
      <c r="E749" s="1" t="str">
        <f t="shared" si="33"/>
        <v>jan</v>
      </c>
      <c r="F749" s="1" t="str">
        <f t="shared" si="34"/>
        <v>1998</v>
      </c>
      <c r="G749" s="1">
        <v>35850</v>
      </c>
      <c r="H749" s="1">
        <v>35816</v>
      </c>
      <c r="I749">
        <v>2</v>
      </c>
      <c r="J749" t="str">
        <f t="shared" si="35"/>
        <v>USPS</v>
      </c>
      <c r="K749" s="16">
        <v>81.83</v>
      </c>
      <c r="L749" t="s">
        <v>10</v>
      </c>
      <c r="M749" t="s">
        <v>583</v>
      </c>
      <c r="N749" t="s">
        <v>186</v>
      </c>
      <c r="O749" t="s">
        <v>187</v>
      </c>
      <c r="P749" t="s">
        <v>584</v>
      </c>
      <c r="Q749" t="s">
        <v>189</v>
      </c>
    </row>
    <row r="750" spans="2:17" customFormat="1" ht="15" hidden="1" x14ac:dyDescent="0.25">
      <c r="B750">
        <v>10834</v>
      </c>
      <c r="C750" t="s">
        <v>581</v>
      </c>
      <c r="D750" s="1">
        <v>35810</v>
      </c>
      <c r="E750" s="1" t="str">
        <f t="shared" si="33"/>
        <v>jan</v>
      </c>
      <c r="F750" s="1" t="str">
        <f t="shared" si="34"/>
        <v>1998</v>
      </c>
      <c r="G750" s="1">
        <v>35838</v>
      </c>
      <c r="H750" s="1">
        <v>35814</v>
      </c>
      <c r="I750">
        <v>3</v>
      </c>
      <c r="J750" t="str">
        <f t="shared" si="35"/>
        <v>DHL</v>
      </c>
      <c r="K750" s="16">
        <v>29.78</v>
      </c>
      <c r="L750" t="s">
        <v>10</v>
      </c>
      <c r="M750" t="s">
        <v>583</v>
      </c>
      <c r="N750" t="s">
        <v>186</v>
      </c>
      <c r="O750" t="s">
        <v>187</v>
      </c>
      <c r="P750" t="s">
        <v>584</v>
      </c>
      <c r="Q750" t="s">
        <v>189</v>
      </c>
    </row>
    <row r="751" spans="2:17" customFormat="1" ht="15" hidden="1" x14ac:dyDescent="0.25">
      <c r="B751">
        <v>10839</v>
      </c>
      <c r="C751" t="s">
        <v>581</v>
      </c>
      <c r="D751" s="1">
        <v>35814</v>
      </c>
      <c r="E751" s="1" t="str">
        <f t="shared" si="33"/>
        <v>jan</v>
      </c>
      <c r="F751" s="1" t="str">
        <f t="shared" si="34"/>
        <v>1998</v>
      </c>
      <c r="G751" s="1">
        <v>35842</v>
      </c>
      <c r="H751" s="1">
        <v>35817</v>
      </c>
      <c r="I751">
        <v>3</v>
      </c>
      <c r="J751" t="str">
        <f t="shared" si="35"/>
        <v>DHL</v>
      </c>
      <c r="K751" s="16">
        <v>35.43</v>
      </c>
      <c r="L751" t="s">
        <v>10</v>
      </c>
      <c r="M751" t="s">
        <v>583</v>
      </c>
      <c r="N751" t="s">
        <v>186</v>
      </c>
      <c r="O751" t="s">
        <v>187</v>
      </c>
      <c r="P751" t="s">
        <v>584</v>
      </c>
      <c r="Q751" t="s">
        <v>189</v>
      </c>
    </row>
    <row r="752" spans="2:17" customFormat="1" ht="15" hidden="1" x14ac:dyDescent="0.25">
      <c r="B752">
        <v>10574</v>
      </c>
      <c r="C752" t="s">
        <v>586</v>
      </c>
      <c r="D752" s="1">
        <v>35600</v>
      </c>
      <c r="E752" s="1" t="str">
        <f t="shared" si="33"/>
        <v>jun</v>
      </c>
      <c r="F752" s="1" t="str">
        <f t="shared" si="34"/>
        <v>1997</v>
      </c>
      <c r="G752" s="1">
        <v>35628</v>
      </c>
      <c r="H752" s="1">
        <v>35611</v>
      </c>
      <c r="I752">
        <v>2</v>
      </c>
      <c r="J752" t="str">
        <f t="shared" si="35"/>
        <v>USPS</v>
      </c>
      <c r="K752">
        <v>37.6</v>
      </c>
      <c r="L752" t="s">
        <v>9</v>
      </c>
      <c r="M752" t="s">
        <v>588</v>
      </c>
      <c r="N752" t="s">
        <v>589</v>
      </c>
      <c r="O752" t="s">
        <v>359</v>
      </c>
      <c r="P752" t="s">
        <v>590</v>
      </c>
      <c r="Q752" t="s">
        <v>290</v>
      </c>
    </row>
    <row r="753" spans="2:17" customFormat="1" ht="15" hidden="1" x14ac:dyDescent="0.25">
      <c r="B753">
        <v>10577</v>
      </c>
      <c r="C753" t="s">
        <v>586</v>
      </c>
      <c r="D753" s="1">
        <v>35604</v>
      </c>
      <c r="E753" s="1" t="str">
        <f t="shared" si="33"/>
        <v>jun</v>
      </c>
      <c r="F753" s="1" t="str">
        <f t="shared" si="34"/>
        <v>1997</v>
      </c>
      <c r="G753" s="1">
        <v>35646</v>
      </c>
      <c r="H753" s="1">
        <v>35611</v>
      </c>
      <c r="I753">
        <v>2</v>
      </c>
      <c r="J753" t="str">
        <f t="shared" si="35"/>
        <v>USPS</v>
      </c>
      <c r="K753">
        <v>25.41</v>
      </c>
      <c r="L753" t="s">
        <v>9</v>
      </c>
      <c r="M753" t="s">
        <v>588</v>
      </c>
      <c r="N753" t="s">
        <v>589</v>
      </c>
      <c r="O753" t="s">
        <v>359</v>
      </c>
      <c r="P753" t="s">
        <v>590</v>
      </c>
      <c r="Q753" t="s">
        <v>290</v>
      </c>
    </row>
    <row r="754" spans="2:17" customFormat="1" ht="15" hidden="1" x14ac:dyDescent="0.25">
      <c r="B754">
        <v>10822</v>
      </c>
      <c r="C754" t="s">
        <v>586</v>
      </c>
      <c r="D754" s="1">
        <v>35803</v>
      </c>
      <c r="E754" s="1" t="str">
        <f t="shared" si="33"/>
        <v>jan</v>
      </c>
      <c r="F754" s="1" t="str">
        <f t="shared" si="34"/>
        <v>1998</v>
      </c>
      <c r="G754" s="1">
        <v>35831</v>
      </c>
      <c r="H754" s="1">
        <v>35811</v>
      </c>
      <c r="I754">
        <v>3</v>
      </c>
      <c r="J754" t="str">
        <f t="shared" si="35"/>
        <v>DHL</v>
      </c>
      <c r="K754">
        <v>7</v>
      </c>
      <c r="L754" t="s">
        <v>9</v>
      </c>
      <c r="M754" t="s">
        <v>588</v>
      </c>
      <c r="N754" t="s">
        <v>589</v>
      </c>
      <c r="O754" t="s">
        <v>359</v>
      </c>
      <c r="P754" t="s">
        <v>590</v>
      </c>
      <c r="Q754" t="s">
        <v>290</v>
      </c>
    </row>
    <row r="755" spans="2:17" customFormat="1" ht="15" hidden="1" x14ac:dyDescent="0.25">
      <c r="B755">
        <v>10367</v>
      </c>
      <c r="C755" t="s">
        <v>592</v>
      </c>
      <c r="D755" s="1">
        <v>35397</v>
      </c>
      <c r="E755" s="1" t="str">
        <f t="shared" si="33"/>
        <v>nov</v>
      </c>
      <c r="F755" s="1" t="str">
        <f t="shared" si="34"/>
        <v>1996</v>
      </c>
      <c r="G755" s="1">
        <v>35425</v>
      </c>
      <c r="H755" s="1">
        <v>35401</v>
      </c>
      <c r="I755">
        <v>3</v>
      </c>
      <c r="J755" t="str">
        <f t="shared" si="35"/>
        <v>DHL</v>
      </c>
      <c r="K755">
        <v>13.55</v>
      </c>
      <c r="L755" t="s">
        <v>8</v>
      </c>
      <c r="M755" t="s">
        <v>594</v>
      </c>
      <c r="N755" t="s">
        <v>595</v>
      </c>
      <c r="P755" t="s">
        <v>596</v>
      </c>
      <c r="Q755" t="s">
        <v>539</v>
      </c>
    </row>
    <row r="756" spans="2:17" customFormat="1" ht="15" hidden="1" x14ac:dyDescent="0.25">
      <c r="B756">
        <v>10399</v>
      </c>
      <c r="C756" t="s">
        <v>592</v>
      </c>
      <c r="D756" s="1">
        <v>35430</v>
      </c>
      <c r="E756" s="1" t="str">
        <f t="shared" si="33"/>
        <v>dez</v>
      </c>
      <c r="F756" s="1" t="str">
        <f t="shared" si="34"/>
        <v>1996</v>
      </c>
      <c r="G756" s="1">
        <v>35444</v>
      </c>
      <c r="H756" s="1">
        <v>35438</v>
      </c>
      <c r="I756">
        <v>3</v>
      </c>
      <c r="J756" t="str">
        <f t="shared" si="35"/>
        <v>DHL</v>
      </c>
      <c r="K756">
        <v>27.36</v>
      </c>
      <c r="L756" t="s">
        <v>8</v>
      </c>
      <c r="M756" t="s">
        <v>594</v>
      </c>
      <c r="N756" t="s">
        <v>595</v>
      </c>
      <c r="P756" t="s">
        <v>596</v>
      </c>
      <c r="Q756" t="s">
        <v>539</v>
      </c>
    </row>
    <row r="757" spans="2:17" customFormat="1" ht="15" hidden="1" x14ac:dyDescent="0.25">
      <c r="B757">
        <v>10465</v>
      </c>
      <c r="C757" t="s">
        <v>592</v>
      </c>
      <c r="D757" s="1">
        <v>35494</v>
      </c>
      <c r="E757" s="1" t="str">
        <f t="shared" si="33"/>
        <v>mar</v>
      </c>
      <c r="F757" s="1" t="str">
        <f t="shared" si="34"/>
        <v>1997</v>
      </c>
      <c r="G757" s="1">
        <v>35522</v>
      </c>
      <c r="H757" s="1">
        <v>35503</v>
      </c>
      <c r="I757">
        <v>3</v>
      </c>
      <c r="J757" t="str">
        <f t="shared" si="35"/>
        <v>DHL</v>
      </c>
      <c r="K757">
        <v>145.04</v>
      </c>
      <c r="L757" t="s">
        <v>8</v>
      </c>
      <c r="M757" t="s">
        <v>594</v>
      </c>
      <c r="N757" t="s">
        <v>595</v>
      </c>
      <c r="P757" t="s">
        <v>596</v>
      </c>
      <c r="Q757" t="s">
        <v>539</v>
      </c>
    </row>
    <row r="758" spans="2:17" customFormat="1" ht="15" hidden="1" x14ac:dyDescent="0.25">
      <c r="B758">
        <v>10591</v>
      </c>
      <c r="C758" t="s">
        <v>592</v>
      </c>
      <c r="D758" s="1">
        <v>35618</v>
      </c>
      <c r="E758" s="1" t="str">
        <f t="shared" si="33"/>
        <v>jul</v>
      </c>
      <c r="F758" s="1" t="str">
        <f t="shared" si="34"/>
        <v>1997</v>
      </c>
      <c r="G758" s="1">
        <v>35632</v>
      </c>
      <c r="H758" s="1">
        <v>35627</v>
      </c>
      <c r="I758">
        <v>1</v>
      </c>
      <c r="J758" t="str">
        <f t="shared" si="35"/>
        <v>UPS</v>
      </c>
      <c r="K758">
        <v>55.92</v>
      </c>
      <c r="L758" t="s">
        <v>8</v>
      </c>
      <c r="M758" t="s">
        <v>594</v>
      </c>
      <c r="N758" t="s">
        <v>595</v>
      </c>
      <c r="P758" t="s">
        <v>596</v>
      </c>
      <c r="Q758" t="s">
        <v>539</v>
      </c>
    </row>
    <row r="759" spans="2:17" customFormat="1" ht="15" hidden="1" x14ac:dyDescent="0.25">
      <c r="B759">
        <v>10602</v>
      </c>
      <c r="C759" t="s">
        <v>592</v>
      </c>
      <c r="D759" s="1">
        <v>35628</v>
      </c>
      <c r="E759" s="1" t="str">
        <f t="shared" si="33"/>
        <v>jul</v>
      </c>
      <c r="F759" s="1" t="str">
        <f t="shared" si="34"/>
        <v>1997</v>
      </c>
      <c r="G759" s="1">
        <v>35656</v>
      </c>
      <c r="H759" s="1">
        <v>35633</v>
      </c>
      <c r="I759">
        <v>2</v>
      </c>
      <c r="J759" t="str">
        <f t="shared" si="35"/>
        <v>USPS</v>
      </c>
      <c r="K759">
        <v>2.92</v>
      </c>
      <c r="L759" t="s">
        <v>8</v>
      </c>
      <c r="M759" t="s">
        <v>594</v>
      </c>
      <c r="N759" t="s">
        <v>595</v>
      </c>
      <c r="P759" t="s">
        <v>596</v>
      </c>
      <c r="Q759" t="s">
        <v>539</v>
      </c>
    </row>
    <row r="760" spans="2:17" customFormat="1" ht="15" hidden="1" x14ac:dyDescent="0.25">
      <c r="B760">
        <v>10688</v>
      </c>
      <c r="C760" t="s">
        <v>592</v>
      </c>
      <c r="D760" s="1">
        <v>35704</v>
      </c>
      <c r="E760" s="1" t="str">
        <f t="shared" si="33"/>
        <v>out</v>
      </c>
      <c r="F760" s="1" t="str">
        <f t="shared" si="34"/>
        <v>1997</v>
      </c>
      <c r="G760" s="1">
        <v>35718</v>
      </c>
      <c r="H760" s="1">
        <v>35710</v>
      </c>
      <c r="I760">
        <v>2</v>
      </c>
      <c r="J760" t="str">
        <f t="shared" si="35"/>
        <v>USPS</v>
      </c>
      <c r="K760">
        <v>299.08999999999997</v>
      </c>
      <c r="L760" t="s">
        <v>8</v>
      </c>
      <c r="M760" t="s">
        <v>594</v>
      </c>
      <c r="N760" t="s">
        <v>595</v>
      </c>
      <c r="P760" t="s">
        <v>596</v>
      </c>
      <c r="Q760" t="s">
        <v>539</v>
      </c>
    </row>
    <row r="761" spans="2:17" customFormat="1" ht="15" hidden="1" x14ac:dyDescent="0.25">
      <c r="B761">
        <v>10744</v>
      </c>
      <c r="C761" t="s">
        <v>592</v>
      </c>
      <c r="D761" s="1">
        <v>35751</v>
      </c>
      <c r="E761" s="1" t="str">
        <f t="shared" si="33"/>
        <v>nov</v>
      </c>
      <c r="F761" s="1" t="str">
        <f t="shared" si="34"/>
        <v>1997</v>
      </c>
      <c r="G761" s="1">
        <v>35779</v>
      </c>
      <c r="H761" s="1">
        <v>35758</v>
      </c>
      <c r="I761">
        <v>1</v>
      </c>
      <c r="J761" t="str">
        <f t="shared" si="35"/>
        <v>UPS</v>
      </c>
      <c r="K761">
        <v>69.19</v>
      </c>
      <c r="L761" t="s">
        <v>8</v>
      </c>
      <c r="M761" t="s">
        <v>594</v>
      </c>
      <c r="N761" t="s">
        <v>595</v>
      </c>
      <c r="P761" t="s">
        <v>596</v>
      </c>
      <c r="Q761" t="s">
        <v>539</v>
      </c>
    </row>
    <row r="762" spans="2:17" customFormat="1" ht="15" hidden="1" x14ac:dyDescent="0.25">
      <c r="B762">
        <v>10769</v>
      </c>
      <c r="C762" t="s">
        <v>592</v>
      </c>
      <c r="D762" s="1">
        <v>35772</v>
      </c>
      <c r="E762" s="1" t="str">
        <f t="shared" si="33"/>
        <v>dez</v>
      </c>
      <c r="F762" s="1" t="str">
        <f t="shared" si="34"/>
        <v>1997</v>
      </c>
      <c r="G762" s="1">
        <v>35800</v>
      </c>
      <c r="H762" s="1">
        <v>35776</v>
      </c>
      <c r="I762">
        <v>1</v>
      </c>
      <c r="J762" t="str">
        <f t="shared" si="35"/>
        <v>UPS</v>
      </c>
      <c r="K762">
        <v>65.06</v>
      </c>
      <c r="L762" t="s">
        <v>8</v>
      </c>
      <c r="M762" t="s">
        <v>594</v>
      </c>
      <c r="N762" t="s">
        <v>595</v>
      </c>
      <c r="P762" t="s">
        <v>596</v>
      </c>
      <c r="Q762" t="s">
        <v>539</v>
      </c>
    </row>
    <row r="763" spans="2:17" customFormat="1" ht="15" hidden="1" x14ac:dyDescent="0.25">
      <c r="B763">
        <v>10921</v>
      </c>
      <c r="C763" t="s">
        <v>592</v>
      </c>
      <c r="D763" s="1">
        <v>35857</v>
      </c>
      <c r="E763" s="1" t="str">
        <f t="shared" si="33"/>
        <v>mar</v>
      </c>
      <c r="F763" s="1" t="str">
        <f t="shared" si="34"/>
        <v>1998</v>
      </c>
      <c r="G763" s="1">
        <v>35899</v>
      </c>
      <c r="H763" s="1">
        <v>35863</v>
      </c>
      <c r="I763">
        <v>1</v>
      </c>
      <c r="J763" t="str">
        <f t="shared" si="35"/>
        <v>UPS</v>
      </c>
      <c r="K763">
        <v>176.48</v>
      </c>
      <c r="L763" t="s">
        <v>8</v>
      </c>
      <c r="M763" t="s">
        <v>594</v>
      </c>
      <c r="N763" t="s">
        <v>595</v>
      </c>
      <c r="P763" t="s">
        <v>596</v>
      </c>
      <c r="Q763" t="s">
        <v>539</v>
      </c>
    </row>
    <row r="764" spans="2:17" customFormat="1" ht="15" hidden="1" x14ac:dyDescent="0.25">
      <c r="B764">
        <v>10946</v>
      </c>
      <c r="C764" t="s">
        <v>592</v>
      </c>
      <c r="D764" s="1">
        <v>35866</v>
      </c>
      <c r="E764" s="1" t="str">
        <f t="shared" si="33"/>
        <v>mar</v>
      </c>
      <c r="F764" s="1" t="str">
        <f t="shared" si="34"/>
        <v>1998</v>
      </c>
      <c r="G764" s="1">
        <v>35894</v>
      </c>
      <c r="H764" s="1">
        <v>35873</v>
      </c>
      <c r="I764">
        <v>2</v>
      </c>
      <c r="J764" t="str">
        <f t="shared" si="35"/>
        <v>USPS</v>
      </c>
      <c r="K764">
        <v>27.2</v>
      </c>
      <c r="L764" t="s">
        <v>8</v>
      </c>
      <c r="M764" t="s">
        <v>594</v>
      </c>
      <c r="N764" t="s">
        <v>595</v>
      </c>
      <c r="P764" t="s">
        <v>596</v>
      </c>
      <c r="Q764" t="s">
        <v>539</v>
      </c>
    </row>
    <row r="765" spans="2:17" customFormat="1" ht="15" hidden="1" x14ac:dyDescent="0.25">
      <c r="B765">
        <v>10994</v>
      </c>
      <c r="C765" t="s">
        <v>592</v>
      </c>
      <c r="D765" s="1">
        <v>35887</v>
      </c>
      <c r="E765" s="1" t="str">
        <f t="shared" si="33"/>
        <v>abr</v>
      </c>
      <c r="F765" s="1" t="str">
        <f t="shared" si="34"/>
        <v>1998</v>
      </c>
      <c r="G765" s="1">
        <v>35901</v>
      </c>
      <c r="H765" s="1">
        <v>35894</v>
      </c>
      <c r="I765">
        <v>3</v>
      </c>
      <c r="J765" t="str">
        <f t="shared" si="35"/>
        <v>DHL</v>
      </c>
      <c r="K765">
        <v>65.53</v>
      </c>
      <c r="L765" t="s">
        <v>8</v>
      </c>
      <c r="M765" t="s">
        <v>594</v>
      </c>
      <c r="N765" t="s">
        <v>595</v>
      </c>
      <c r="P765" t="s">
        <v>596</v>
      </c>
      <c r="Q765" t="s">
        <v>539</v>
      </c>
    </row>
    <row r="766" spans="2:17" customFormat="1" ht="15" hidden="1" x14ac:dyDescent="0.25">
      <c r="B766">
        <v>10251</v>
      </c>
      <c r="C766" t="s">
        <v>598</v>
      </c>
      <c r="D766" s="1">
        <v>35254</v>
      </c>
      <c r="E766" s="1" t="str">
        <f t="shared" si="33"/>
        <v>jul</v>
      </c>
      <c r="F766" s="1" t="str">
        <f t="shared" si="34"/>
        <v>1996</v>
      </c>
      <c r="G766" s="1">
        <v>35282</v>
      </c>
      <c r="H766" s="1">
        <v>35261</v>
      </c>
      <c r="I766">
        <v>1</v>
      </c>
      <c r="J766" t="str">
        <f t="shared" si="35"/>
        <v>UPS</v>
      </c>
      <c r="K766">
        <v>41.34</v>
      </c>
      <c r="L766" t="s">
        <v>7</v>
      </c>
      <c r="M766" t="s">
        <v>600</v>
      </c>
      <c r="N766" t="s">
        <v>601</v>
      </c>
      <c r="P766" t="s">
        <v>602</v>
      </c>
      <c r="Q766" t="s">
        <v>134</v>
      </c>
    </row>
    <row r="767" spans="2:17" customFormat="1" ht="15" hidden="1" x14ac:dyDescent="0.25">
      <c r="B767">
        <v>10334</v>
      </c>
      <c r="C767" t="s">
        <v>598</v>
      </c>
      <c r="D767" s="1">
        <v>35359</v>
      </c>
      <c r="E767" s="1" t="str">
        <f t="shared" si="33"/>
        <v>out</v>
      </c>
      <c r="F767" s="1" t="str">
        <f t="shared" si="34"/>
        <v>1996</v>
      </c>
      <c r="G767" s="1">
        <v>35387</v>
      </c>
      <c r="H767" s="1">
        <v>35366</v>
      </c>
      <c r="I767">
        <v>2</v>
      </c>
      <c r="J767" t="str">
        <f t="shared" si="35"/>
        <v>USPS</v>
      </c>
      <c r="K767">
        <v>8.56</v>
      </c>
      <c r="L767" t="s">
        <v>7</v>
      </c>
      <c r="M767" t="s">
        <v>600</v>
      </c>
      <c r="N767" t="s">
        <v>601</v>
      </c>
      <c r="P767" t="s">
        <v>602</v>
      </c>
      <c r="Q767" t="s">
        <v>134</v>
      </c>
    </row>
    <row r="768" spans="2:17" customFormat="1" ht="15" hidden="1" x14ac:dyDescent="0.25">
      <c r="B768">
        <v>10450</v>
      </c>
      <c r="C768" t="s">
        <v>598</v>
      </c>
      <c r="D768" s="1">
        <v>35480</v>
      </c>
      <c r="E768" s="1" t="str">
        <f t="shared" si="33"/>
        <v>fev</v>
      </c>
      <c r="F768" s="1" t="str">
        <f t="shared" si="34"/>
        <v>1997</v>
      </c>
      <c r="G768" s="1">
        <v>35508</v>
      </c>
      <c r="H768" s="1">
        <v>35500</v>
      </c>
      <c r="I768">
        <v>2</v>
      </c>
      <c r="J768" t="str">
        <f t="shared" si="35"/>
        <v>USPS</v>
      </c>
      <c r="K768">
        <v>7.23</v>
      </c>
      <c r="L768" t="s">
        <v>7</v>
      </c>
      <c r="M768" t="s">
        <v>600</v>
      </c>
      <c r="N768" t="s">
        <v>601</v>
      </c>
      <c r="P768" t="s">
        <v>602</v>
      </c>
      <c r="Q768" t="s">
        <v>134</v>
      </c>
    </row>
    <row r="769" spans="2:17" customFormat="1" ht="15" hidden="1" x14ac:dyDescent="0.25">
      <c r="B769">
        <v>10459</v>
      </c>
      <c r="C769" t="s">
        <v>598</v>
      </c>
      <c r="D769" s="1">
        <v>35488</v>
      </c>
      <c r="E769" s="1" t="str">
        <f t="shared" si="33"/>
        <v>fev</v>
      </c>
      <c r="F769" s="1" t="str">
        <f t="shared" si="34"/>
        <v>1997</v>
      </c>
      <c r="G769" s="1">
        <v>35516</v>
      </c>
      <c r="H769" s="1">
        <v>35489</v>
      </c>
      <c r="I769">
        <v>2</v>
      </c>
      <c r="J769" t="str">
        <f t="shared" si="35"/>
        <v>USPS</v>
      </c>
      <c r="K769">
        <v>25.09</v>
      </c>
      <c r="L769" t="s">
        <v>7</v>
      </c>
      <c r="M769" t="s">
        <v>600</v>
      </c>
      <c r="N769" t="s">
        <v>601</v>
      </c>
      <c r="P769" t="s">
        <v>602</v>
      </c>
      <c r="Q769" t="s">
        <v>134</v>
      </c>
    </row>
    <row r="770" spans="2:17" customFormat="1" ht="15" hidden="1" x14ac:dyDescent="0.25">
      <c r="B770">
        <v>10478</v>
      </c>
      <c r="C770" t="s">
        <v>598</v>
      </c>
      <c r="D770" s="1">
        <v>35507</v>
      </c>
      <c r="E770" s="1" t="str">
        <f t="shared" si="33"/>
        <v>mar</v>
      </c>
      <c r="F770" s="1" t="str">
        <f t="shared" si="34"/>
        <v>1997</v>
      </c>
      <c r="G770" s="1">
        <v>35521</v>
      </c>
      <c r="H770" s="1">
        <v>35515</v>
      </c>
      <c r="I770">
        <v>3</v>
      </c>
      <c r="J770" t="str">
        <f t="shared" si="35"/>
        <v>DHL</v>
      </c>
      <c r="K770">
        <v>4.8099999999999996</v>
      </c>
      <c r="L770" t="s">
        <v>7</v>
      </c>
      <c r="M770" t="s">
        <v>600</v>
      </c>
      <c r="N770" t="s">
        <v>601</v>
      </c>
      <c r="P770" t="s">
        <v>602</v>
      </c>
      <c r="Q770" t="s">
        <v>134</v>
      </c>
    </row>
    <row r="771" spans="2:17" customFormat="1" ht="15" hidden="1" x14ac:dyDescent="0.25">
      <c r="B771">
        <v>10546</v>
      </c>
      <c r="C771" t="s">
        <v>598</v>
      </c>
      <c r="D771" s="1">
        <v>35573</v>
      </c>
      <c r="E771" s="1" t="str">
        <f t="shared" si="33"/>
        <v>mai</v>
      </c>
      <c r="F771" s="1" t="str">
        <f t="shared" si="34"/>
        <v>1997</v>
      </c>
      <c r="G771" s="1">
        <v>35601</v>
      </c>
      <c r="H771" s="1">
        <v>35577</v>
      </c>
      <c r="I771">
        <v>3</v>
      </c>
      <c r="J771" t="str">
        <f t="shared" si="35"/>
        <v>DHL</v>
      </c>
      <c r="K771">
        <v>194.72</v>
      </c>
      <c r="L771" t="s">
        <v>7</v>
      </c>
      <c r="M771" t="s">
        <v>600</v>
      </c>
      <c r="N771" t="s">
        <v>601</v>
      </c>
      <c r="P771" t="s">
        <v>602</v>
      </c>
      <c r="Q771" t="s">
        <v>134</v>
      </c>
    </row>
    <row r="772" spans="2:17" customFormat="1" ht="15" hidden="1" x14ac:dyDescent="0.25">
      <c r="B772">
        <v>10806</v>
      </c>
      <c r="C772" t="s">
        <v>598</v>
      </c>
      <c r="D772" s="1">
        <v>35795</v>
      </c>
      <c r="E772" s="1" t="str">
        <f t="shared" si="33"/>
        <v>dez</v>
      </c>
      <c r="F772" s="1" t="str">
        <f t="shared" si="34"/>
        <v>1997</v>
      </c>
      <c r="G772" s="1">
        <v>35823</v>
      </c>
      <c r="H772" s="1">
        <v>35800</v>
      </c>
      <c r="I772">
        <v>2</v>
      </c>
      <c r="J772" t="str">
        <f t="shared" si="35"/>
        <v>USPS</v>
      </c>
      <c r="K772">
        <v>22.11</v>
      </c>
      <c r="L772" t="s">
        <v>7</v>
      </c>
      <c r="M772" t="s">
        <v>600</v>
      </c>
      <c r="N772" t="s">
        <v>601</v>
      </c>
      <c r="P772" t="s">
        <v>602</v>
      </c>
      <c r="Q772" t="s">
        <v>134</v>
      </c>
    </row>
    <row r="773" spans="2:17" customFormat="1" ht="15" hidden="1" x14ac:dyDescent="0.25">
      <c r="B773">
        <v>10814</v>
      </c>
      <c r="C773" t="s">
        <v>598</v>
      </c>
      <c r="D773" s="1">
        <v>35800</v>
      </c>
      <c r="E773" s="1" t="str">
        <f t="shared" si="33"/>
        <v>jan</v>
      </c>
      <c r="F773" s="1" t="str">
        <f t="shared" si="34"/>
        <v>1998</v>
      </c>
      <c r="G773" s="1">
        <v>35828</v>
      </c>
      <c r="H773" s="1">
        <v>35809</v>
      </c>
      <c r="I773">
        <v>3</v>
      </c>
      <c r="J773" t="str">
        <f t="shared" si="35"/>
        <v>DHL</v>
      </c>
      <c r="K773">
        <v>130.94</v>
      </c>
      <c r="L773" t="s">
        <v>7</v>
      </c>
      <c r="M773" t="s">
        <v>600</v>
      </c>
      <c r="N773" t="s">
        <v>601</v>
      </c>
      <c r="P773" t="s">
        <v>602</v>
      </c>
      <c r="Q773" t="s">
        <v>134</v>
      </c>
    </row>
    <row r="774" spans="2:17" customFormat="1" ht="15" hidden="1" x14ac:dyDescent="0.25">
      <c r="B774">
        <v>10843</v>
      </c>
      <c r="C774" t="s">
        <v>598</v>
      </c>
      <c r="D774" s="1">
        <v>35816</v>
      </c>
      <c r="E774" s="1" t="str">
        <f t="shared" si="33"/>
        <v>jan</v>
      </c>
      <c r="F774" s="1" t="str">
        <f t="shared" si="34"/>
        <v>1998</v>
      </c>
      <c r="G774" s="1">
        <v>35844</v>
      </c>
      <c r="H774" s="1">
        <v>35821</v>
      </c>
      <c r="I774">
        <v>2</v>
      </c>
      <c r="J774" t="str">
        <f t="shared" si="35"/>
        <v>USPS</v>
      </c>
      <c r="K774">
        <v>9.26</v>
      </c>
      <c r="L774" t="s">
        <v>7</v>
      </c>
      <c r="M774" t="s">
        <v>600</v>
      </c>
      <c r="N774" t="s">
        <v>601</v>
      </c>
      <c r="P774" t="s">
        <v>602</v>
      </c>
      <c r="Q774" t="s">
        <v>134</v>
      </c>
    </row>
    <row r="775" spans="2:17" customFormat="1" ht="15" hidden="1" x14ac:dyDescent="0.25">
      <c r="B775">
        <v>10850</v>
      </c>
      <c r="C775" t="s">
        <v>598</v>
      </c>
      <c r="D775" s="1">
        <v>35818</v>
      </c>
      <c r="E775" s="1" t="str">
        <f t="shared" si="33"/>
        <v>jan</v>
      </c>
      <c r="F775" s="1" t="str">
        <f t="shared" si="34"/>
        <v>1998</v>
      </c>
      <c r="G775" s="1">
        <v>35860</v>
      </c>
      <c r="H775" s="1">
        <v>35825</v>
      </c>
      <c r="I775">
        <v>1</v>
      </c>
      <c r="J775" t="str">
        <f t="shared" si="35"/>
        <v>UPS</v>
      </c>
      <c r="K775">
        <v>49.19</v>
      </c>
      <c r="L775" t="s">
        <v>7</v>
      </c>
      <c r="M775" t="s">
        <v>600</v>
      </c>
      <c r="N775" t="s">
        <v>601</v>
      </c>
      <c r="P775" t="s">
        <v>602</v>
      </c>
      <c r="Q775" t="s">
        <v>134</v>
      </c>
    </row>
    <row r="776" spans="2:17" customFormat="1" ht="15" hidden="1" x14ac:dyDescent="0.25">
      <c r="B776">
        <v>10274</v>
      </c>
      <c r="C776" t="s">
        <v>604</v>
      </c>
      <c r="D776" s="1">
        <v>35283</v>
      </c>
      <c r="E776" s="1" t="str">
        <f t="shared" si="33"/>
        <v>ago</v>
      </c>
      <c r="F776" s="1" t="str">
        <f t="shared" si="34"/>
        <v>1996</v>
      </c>
      <c r="G776" s="1">
        <v>35311</v>
      </c>
      <c r="H776" s="1">
        <v>35293</v>
      </c>
      <c r="I776">
        <v>1</v>
      </c>
      <c r="J776" t="str">
        <f t="shared" si="35"/>
        <v>UPS</v>
      </c>
      <c r="K776">
        <v>6.01</v>
      </c>
      <c r="L776" t="s">
        <v>2</v>
      </c>
      <c r="M776" t="s">
        <v>606</v>
      </c>
      <c r="N776" t="s">
        <v>607</v>
      </c>
      <c r="P776" t="s">
        <v>608</v>
      </c>
      <c r="Q776" t="s">
        <v>134</v>
      </c>
    </row>
    <row r="777" spans="2:17" customFormat="1" ht="15" hidden="1" x14ac:dyDescent="0.25">
      <c r="B777">
        <v>10295</v>
      </c>
      <c r="C777" t="s">
        <v>604</v>
      </c>
      <c r="D777" s="1">
        <v>35310</v>
      </c>
      <c r="E777" s="1" t="str">
        <f t="shared" si="33"/>
        <v>set</v>
      </c>
      <c r="F777" s="1" t="str">
        <f t="shared" si="34"/>
        <v>1996</v>
      </c>
      <c r="G777" s="1">
        <v>35338</v>
      </c>
      <c r="H777" s="1">
        <v>35318</v>
      </c>
      <c r="I777">
        <v>2</v>
      </c>
      <c r="J777" t="str">
        <f t="shared" si="35"/>
        <v>USPS</v>
      </c>
      <c r="K777">
        <v>1.1499999999999999</v>
      </c>
      <c r="L777" t="s">
        <v>2</v>
      </c>
      <c r="M777" t="s">
        <v>606</v>
      </c>
      <c r="N777" t="s">
        <v>607</v>
      </c>
      <c r="P777" t="s">
        <v>608</v>
      </c>
      <c r="Q777" t="s">
        <v>134</v>
      </c>
    </row>
    <row r="778" spans="2:17" customFormat="1" ht="15" hidden="1" x14ac:dyDescent="0.25">
      <c r="B778">
        <v>10737</v>
      </c>
      <c r="C778" t="s">
        <v>604</v>
      </c>
      <c r="D778" s="1">
        <v>35745</v>
      </c>
      <c r="E778" s="1" t="str">
        <f t="shared" si="33"/>
        <v>nov</v>
      </c>
      <c r="F778" s="1" t="str">
        <f t="shared" si="34"/>
        <v>1997</v>
      </c>
      <c r="G778" s="1">
        <v>35773</v>
      </c>
      <c r="H778" s="1">
        <v>35752</v>
      </c>
      <c r="I778">
        <v>2</v>
      </c>
      <c r="J778" t="str">
        <f t="shared" si="35"/>
        <v>USPS</v>
      </c>
      <c r="K778">
        <v>7.79</v>
      </c>
      <c r="L778" t="s">
        <v>2</v>
      </c>
      <c r="M778" t="s">
        <v>606</v>
      </c>
      <c r="N778" t="s">
        <v>607</v>
      </c>
      <c r="P778" t="s">
        <v>608</v>
      </c>
      <c r="Q778" t="s">
        <v>134</v>
      </c>
    </row>
    <row r="779" spans="2:17" customFormat="1" ht="15" hidden="1" x14ac:dyDescent="0.25">
      <c r="B779">
        <v>10739</v>
      </c>
      <c r="C779" t="s">
        <v>604</v>
      </c>
      <c r="D779" s="1">
        <v>35746</v>
      </c>
      <c r="E779" s="1" t="str">
        <f t="shared" si="33"/>
        <v>nov</v>
      </c>
      <c r="F779" s="1" t="str">
        <f t="shared" si="34"/>
        <v>1997</v>
      </c>
      <c r="G779" s="1">
        <v>35774</v>
      </c>
      <c r="H779" s="1">
        <v>35751</v>
      </c>
      <c r="I779">
        <v>3</v>
      </c>
      <c r="J779" t="str">
        <f t="shared" si="35"/>
        <v>DHL</v>
      </c>
      <c r="K779">
        <v>11.08</v>
      </c>
      <c r="L779" t="s">
        <v>2</v>
      </c>
      <c r="M779" t="s">
        <v>606</v>
      </c>
      <c r="N779" t="s">
        <v>607</v>
      </c>
      <c r="P779" t="s">
        <v>608</v>
      </c>
      <c r="Q779" t="s">
        <v>134</v>
      </c>
    </row>
    <row r="780" spans="2:17" customFormat="1" ht="15" hidden="1" x14ac:dyDescent="0.25">
      <c r="B780">
        <v>10301</v>
      </c>
      <c r="C780" t="s">
        <v>610</v>
      </c>
      <c r="D780" s="1">
        <v>35317</v>
      </c>
      <c r="E780" s="1" t="str">
        <f t="shared" si="33"/>
        <v>set</v>
      </c>
      <c r="F780" s="1" t="str">
        <f t="shared" si="34"/>
        <v>1996</v>
      </c>
      <c r="G780" s="1">
        <v>35345</v>
      </c>
      <c r="H780" s="1">
        <v>35325</v>
      </c>
      <c r="I780">
        <v>2</v>
      </c>
      <c r="J780" t="str">
        <f t="shared" si="35"/>
        <v>USPS</v>
      </c>
      <c r="K780">
        <v>45.08</v>
      </c>
      <c r="L780" t="s">
        <v>6</v>
      </c>
      <c r="M780" t="s">
        <v>612</v>
      </c>
      <c r="N780" t="s">
        <v>613</v>
      </c>
      <c r="P780" t="s">
        <v>614</v>
      </c>
      <c r="Q780" t="s">
        <v>94</v>
      </c>
    </row>
    <row r="781" spans="2:17" customFormat="1" ht="15" hidden="1" x14ac:dyDescent="0.25">
      <c r="B781">
        <v>10312</v>
      </c>
      <c r="C781" t="s">
        <v>610</v>
      </c>
      <c r="D781" s="1">
        <v>35331</v>
      </c>
      <c r="E781" s="1" t="str">
        <f t="shared" si="33"/>
        <v>set</v>
      </c>
      <c r="F781" s="1" t="str">
        <f t="shared" si="34"/>
        <v>1996</v>
      </c>
      <c r="G781" s="1">
        <v>35359</v>
      </c>
      <c r="H781" s="1">
        <v>35341</v>
      </c>
      <c r="I781">
        <v>2</v>
      </c>
      <c r="J781" t="str">
        <f t="shared" si="35"/>
        <v>USPS</v>
      </c>
      <c r="K781">
        <v>40.26</v>
      </c>
      <c r="L781" t="s">
        <v>6</v>
      </c>
      <c r="M781" t="s">
        <v>612</v>
      </c>
      <c r="N781" t="s">
        <v>613</v>
      </c>
      <c r="P781" t="s">
        <v>614</v>
      </c>
      <c r="Q781" t="s">
        <v>94</v>
      </c>
    </row>
    <row r="782" spans="2:17" customFormat="1" ht="15" hidden="1" x14ac:dyDescent="0.25">
      <c r="B782">
        <v>10348</v>
      </c>
      <c r="C782" t="s">
        <v>610</v>
      </c>
      <c r="D782" s="1">
        <v>35376</v>
      </c>
      <c r="E782" s="1" t="str">
        <f t="shared" ref="E782:E842" si="36">TEXT(D782,"mmm")</f>
        <v>nov</v>
      </c>
      <c r="F782" s="1" t="str">
        <f t="shared" ref="F782:F842" si="37">TEXT(D782,"aaa")</f>
        <v>1996</v>
      </c>
      <c r="G782" s="1">
        <v>35404</v>
      </c>
      <c r="H782" s="1">
        <v>35384</v>
      </c>
      <c r="I782">
        <v>2</v>
      </c>
      <c r="J782" t="str">
        <f t="shared" ref="J782:J842" si="38">CHOOSE(I782,"UPS","USPS","DHL")</f>
        <v>USPS</v>
      </c>
      <c r="K782">
        <v>0.78</v>
      </c>
      <c r="L782" t="s">
        <v>6</v>
      </c>
      <c r="M782" t="s">
        <v>612</v>
      </c>
      <c r="N782" t="s">
        <v>613</v>
      </c>
      <c r="P782" t="s">
        <v>614</v>
      </c>
      <c r="Q782" t="s">
        <v>94</v>
      </c>
    </row>
    <row r="783" spans="2:17" customFormat="1" ht="15" hidden="1" x14ac:dyDescent="0.25">
      <c r="B783">
        <v>10356</v>
      </c>
      <c r="C783" t="s">
        <v>610</v>
      </c>
      <c r="D783" s="1">
        <v>35387</v>
      </c>
      <c r="E783" s="1" t="str">
        <f t="shared" si="36"/>
        <v>nov</v>
      </c>
      <c r="F783" s="1" t="str">
        <f t="shared" si="37"/>
        <v>1996</v>
      </c>
      <c r="G783" s="1">
        <v>35415</v>
      </c>
      <c r="H783" s="1">
        <v>35396</v>
      </c>
      <c r="I783">
        <v>2</v>
      </c>
      <c r="J783" t="str">
        <f t="shared" si="38"/>
        <v>USPS</v>
      </c>
      <c r="K783">
        <v>36.71</v>
      </c>
      <c r="L783" t="s">
        <v>6</v>
      </c>
      <c r="M783" t="s">
        <v>612</v>
      </c>
      <c r="N783" t="s">
        <v>613</v>
      </c>
      <c r="P783" t="s">
        <v>614</v>
      </c>
      <c r="Q783" t="s">
        <v>94</v>
      </c>
    </row>
    <row r="784" spans="2:17" customFormat="1" ht="15" hidden="1" x14ac:dyDescent="0.25">
      <c r="B784">
        <v>10513</v>
      </c>
      <c r="C784" t="s">
        <v>610</v>
      </c>
      <c r="D784" s="1">
        <v>35542</v>
      </c>
      <c r="E784" s="1" t="str">
        <f t="shared" si="36"/>
        <v>abr</v>
      </c>
      <c r="F784" s="1" t="str">
        <f t="shared" si="37"/>
        <v>1997</v>
      </c>
      <c r="G784" s="1">
        <v>35584</v>
      </c>
      <c r="H784" s="1">
        <v>35548</v>
      </c>
      <c r="I784">
        <v>1</v>
      </c>
      <c r="J784" t="str">
        <f t="shared" si="38"/>
        <v>UPS</v>
      </c>
      <c r="K784">
        <v>105.65</v>
      </c>
      <c r="L784" t="s">
        <v>6</v>
      </c>
      <c r="M784" t="s">
        <v>612</v>
      </c>
      <c r="N784" t="s">
        <v>613</v>
      </c>
      <c r="P784" t="s">
        <v>614</v>
      </c>
      <c r="Q784" t="s">
        <v>94</v>
      </c>
    </row>
    <row r="785" spans="2:17" customFormat="1" ht="15" hidden="1" x14ac:dyDescent="0.25">
      <c r="B785">
        <v>10632</v>
      </c>
      <c r="C785" t="s">
        <v>610</v>
      </c>
      <c r="D785" s="1">
        <v>35656</v>
      </c>
      <c r="E785" s="1" t="str">
        <f t="shared" si="36"/>
        <v>ago</v>
      </c>
      <c r="F785" s="1" t="str">
        <f t="shared" si="37"/>
        <v>1997</v>
      </c>
      <c r="G785" s="1">
        <v>35684</v>
      </c>
      <c r="H785" s="1">
        <v>35661</v>
      </c>
      <c r="I785">
        <v>1</v>
      </c>
      <c r="J785" t="str">
        <f t="shared" si="38"/>
        <v>UPS</v>
      </c>
      <c r="K785">
        <v>41.38</v>
      </c>
      <c r="L785" t="s">
        <v>6</v>
      </c>
      <c r="M785" t="s">
        <v>612</v>
      </c>
      <c r="N785" t="s">
        <v>613</v>
      </c>
      <c r="P785" t="s">
        <v>614</v>
      </c>
      <c r="Q785" t="s">
        <v>94</v>
      </c>
    </row>
    <row r="786" spans="2:17" customFormat="1" ht="15" hidden="1" x14ac:dyDescent="0.25">
      <c r="B786">
        <v>10640</v>
      </c>
      <c r="C786" t="s">
        <v>610</v>
      </c>
      <c r="D786" s="1">
        <v>35663</v>
      </c>
      <c r="E786" s="1" t="str">
        <f t="shared" si="36"/>
        <v>ago</v>
      </c>
      <c r="F786" s="1" t="str">
        <f t="shared" si="37"/>
        <v>1997</v>
      </c>
      <c r="G786" s="1">
        <v>35691</v>
      </c>
      <c r="H786" s="1">
        <v>35670</v>
      </c>
      <c r="I786">
        <v>1</v>
      </c>
      <c r="J786" t="str">
        <f t="shared" si="38"/>
        <v>UPS</v>
      </c>
      <c r="K786">
        <v>23.55</v>
      </c>
      <c r="L786" t="s">
        <v>6</v>
      </c>
      <c r="M786" t="s">
        <v>612</v>
      </c>
      <c r="N786" t="s">
        <v>613</v>
      </c>
      <c r="P786" t="s">
        <v>614</v>
      </c>
      <c r="Q786" t="s">
        <v>94</v>
      </c>
    </row>
    <row r="787" spans="2:17" customFormat="1" ht="15" hidden="1" x14ac:dyDescent="0.25">
      <c r="B787">
        <v>10651</v>
      </c>
      <c r="C787" t="s">
        <v>610</v>
      </c>
      <c r="D787" s="1">
        <v>35674</v>
      </c>
      <c r="E787" s="1" t="str">
        <f t="shared" si="36"/>
        <v>set</v>
      </c>
      <c r="F787" s="1" t="str">
        <f t="shared" si="37"/>
        <v>1997</v>
      </c>
      <c r="G787" s="1">
        <v>35702</v>
      </c>
      <c r="H787" s="1">
        <v>35684</v>
      </c>
      <c r="I787">
        <v>2</v>
      </c>
      <c r="J787" t="str">
        <f t="shared" si="38"/>
        <v>USPS</v>
      </c>
      <c r="K787">
        <v>20.6</v>
      </c>
      <c r="L787" t="s">
        <v>6</v>
      </c>
      <c r="M787" t="s">
        <v>612</v>
      </c>
      <c r="N787" t="s">
        <v>613</v>
      </c>
      <c r="P787" t="s">
        <v>614</v>
      </c>
      <c r="Q787" t="s">
        <v>94</v>
      </c>
    </row>
    <row r="788" spans="2:17" customFormat="1" ht="15" hidden="1" x14ac:dyDescent="0.25">
      <c r="B788">
        <v>10668</v>
      </c>
      <c r="C788" t="s">
        <v>610</v>
      </c>
      <c r="D788" s="1">
        <v>35688</v>
      </c>
      <c r="E788" s="1" t="str">
        <f t="shared" si="36"/>
        <v>set</v>
      </c>
      <c r="F788" s="1" t="str">
        <f t="shared" si="37"/>
        <v>1997</v>
      </c>
      <c r="G788" s="1">
        <v>35716</v>
      </c>
      <c r="H788" s="1">
        <v>35696</v>
      </c>
      <c r="I788">
        <v>2</v>
      </c>
      <c r="J788" t="str">
        <f t="shared" si="38"/>
        <v>USPS</v>
      </c>
      <c r="K788">
        <v>47.22</v>
      </c>
      <c r="L788" t="s">
        <v>6</v>
      </c>
      <c r="M788" t="s">
        <v>612</v>
      </c>
      <c r="N788" t="s">
        <v>613</v>
      </c>
      <c r="P788" t="s">
        <v>614</v>
      </c>
      <c r="Q788" t="s">
        <v>94</v>
      </c>
    </row>
    <row r="789" spans="2:17" customFormat="1" ht="15" hidden="1" x14ac:dyDescent="0.25">
      <c r="B789">
        <v>11046</v>
      </c>
      <c r="C789" t="s">
        <v>610</v>
      </c>
      <c r="D789" s="1">
        <v>35908</v>
      </c>
      <c r="E789" s="1" t="str">
        <f t="shared" si="36"/>
        <v>abr</v>
      </c>
      <c r="F789" s="1" t="str">
        <f t="shared" si="37"/>
        <v>1998</v>
      </c>
      <c r="G789" s="1">
        <v>35936</v>
      </c>
      <c r="H789" s="1">
        <v>35909</v>
      </c>
      <c r="I789">
        <v>2</v>
      </c>
      <c r="J789" t="str">
        <f t="shared" si="38"/>
        <v>USPS</v>
      </c>
      <c r="K789">
        <v>71.64</v>
      </c>
      <c r="L789" t="s">
        <v>6</v>
      </c>
      <c r="M789" t="s">
        <v>612</v>
      </c>
      <c r="N789" t="s">
        <v>613</v>
      </c>
      <c r="P789" t="s">
        <v>614</v>
      </c>
      <c r="Q789" t="s">
        <v>94</v>
      </c>
    </row>
    <row r="790" spans="2:17" customFormat="1" ht="15" hidden="1" x14ac:dyDescent="0.25">
      <c r="B790">
        <v>10266</v>
      </c>
      <c r="C790" t="s">
        <v>616</v>
      </c>
      <c r="D790" s="1">
        <v>35272</v>
      </c>
      <c r="E790" s="1" t="str">
        <f t="shared" si="36"/>
        <v>jul</v>
      </c>
      <c r="F790" s="1" t="str">
        <f t="shared" si="37"/>
        <v>1996</v>
      </c>
      <c r="G790" s="1">
        <v>35314</v>
      </c>
      <c r="H790" s="1">
        <v>35277</v>
      </c>
      <c r="I790">
        <v>3</v>
      </c>
      <c r="J790" t="str">
        <f t="shared" si="38"/>
        <v>DHL</v>
      </c>
      <c r="K790">
        <v>25.73</v>
      </c>
      <c r="L790" t="s">
        <v>5</v>
      </c>
      <c r="M790" t="s">
        <v>618</v>
      </c>
      <c r="N790" t="s">
        <v>619</v>
      </c>
      <c r="P790" t="s">
        <v>620</v>
      </c>
      <c r="Q790" t="s">
        <v>621</v>
      </c>
    </row>
    <row r="791" spans="2:17" customFormat="1" ht="15" hidden="1" x14ac:dyDescent="0.25">
      <c r="B791">
        <v>10270</v>
      </c>
      <c r="C791" t="s">
        <v>616</v>
      </c>
      <c r="D791" s="1">
        <v>35278</v>
      </c>
      <c r="E791" s="1" t="str">
        <f t="shared" si="36"/>
        <v>ago</v>
      </c>
      <c r="F791" s="1" t="str">
        <f t="shared" si="37"/>
        <v>1996</v>
      </c>
      <c r="G791" s="1">
        <v>35306</v>
      </c>
      <c r="H791" s="1">
        <v>35279</v>
      </c>
      <c r="I791">
        <v>1</v>
      </c>
      <c r="J791" t="str">
        <f t="shared" si="38"/>
        <v>UPS</v>
      </c>
      <c r="K791">
        <v>136.54</v>
      </c>
      <c r="L791" t="s">
        <v>5</v>
      </c>
      <c r="M791" t="s">
        <v>618</v>
      </c>
      <c r="N791" t="s">
        <v>619</v>
      </c>
      <c r="P791" t="s">
        <v>620</v>
      </c>
      <c r="Q791" t="s">
        <v>621</v>
      </c>
    </row>
    <row r="792" spans="2:17" customFormat="1" ht="15" hidden="1" x14ac:dyDescent="0.25">
      <c r="B792">
        <v>10320</v>
      </c>
      <c r="C792" t="s">
        <v>616</v>
      </c>
      <c r="D792" s="1">
        <v>35341</v>
      </c>
      <c r="E792" s="1" t="str">
        <f t="shared" si="36"/>
        <v>out</v>
      </c>
      <c r="F792" s="1" t="str">
        <f t="shared" si="37"/>
        <v>1996</v>
      </c>
      <c r="G792" s="1">
        <v>35355</v>
      </c>
      <c r="H792" s="1">
        <v>35356</v>
      </c>
      <c r="I792">
        <v>3</v>
      </c>
      <c r="J792" t="str">
        <f t="shared" si="38"/>
        <v>DHL</v>
      </c>
      <c r="K792">
        <v>34.57</v>
      </c>
      <c r="L792" t="s">
        <v>5</v>
      </c>
      <c r="M792" t="s">
        <v>618</v>
      </c>
      <c r="N792" t="s">
        <v>619</v>
      </c>
      <c r="P792" t="s">
        <v>620</v>
      </c>
      <c r="Q792" t="s">
        <v>621</v>
      </c>
    </row>
    <row r="793" spans="2:17" customFormat="1" ht="15" hidden="1" x14ac:dyDescent="0.25">
      <c r="B793">
        <v>10333</v>
      </c>
      <c r="C793" t="s">
        <v>616</v>
      </c>
      <c r="D793" s="1">
        <v>35356</v>
      </c>
      <c r="E793" s="1" t="str">
        <f t="shared" si="36"/>
        <v>out</v>
      </c>
      <c r="F793" s="1" t="str">
        <f t="shared" si="37"/>
        <v>1996</v>
      </c>
      <c r="G793" s="1">
        <v>35384</v>
      </c>
      <c r="H793" s="1">
        <v>35363</v>
      </c>
      <c r="I793">
        <v>3</v>
      </c>
      <c r="J793" t="str">
        <f t="shared" si="38"/>
        <v>DHL</v>
      </c>
      <c r="K793">
        <v>0.59</v>
      </c>
      <c r="L793" t="s">
        <v>5</v>
      </c>
      <c r="M793" t="s">
        <v>618</v>
      </c>
      <c r="N793" t="s">
        <v>619</v>
      </c>
      <c r="P793" t="s">
        <v>620</v>
      </c>
      <c r="Q793" t="s">
        <v>621</v>
      </c>
    </row>
    <row r="794" spans="2:17" customFormat="1" ht="15" hidden="1" x14ac:dyDescent="0.25">
      <c r="B794">
        <v>10412</v>
      </c>
      <c r="C794" t="s">
        <v>616</v>
      </c>
      <c r="D794" s="1">
        <v>35443</v>
      </c>
      <c r="E794" s="1" t="str">
        <f t="shared" si="36"/>
        <v>jan</v>
      </c>
      <c r="F794" s="1" t="str">
        <f t="shared" si="37"/>
        <v>1997</v>
      </c>
      <c r="G794" s="1">
        <v>35471</v>
      </c>
      <c r="H794" s="1">
        <v>35445</v>
      </c>
      <c r="I794">
        <v>2</v>
      </c>
      <c r="J794" t="str">
        <f t="shared" si="38"/>
        <v>USPS</v>
      </c>
      <c r="K794">
        <v>3.77</v>
      </c>
      <c r="L794" t="s">
        <v>5</v>
      </c>
      <c r="M794" t="s">
        <v>618</v>
      </c>
      <c r="N794" t="s">
        <v>619</v>
      </c>
      <c r="P794" t="s">
        <v>620</v>
      </c>
      <c r="Q794" t="s">
        <v>621</v>
      </c>
    </row>
    <row r="795" spans="2:17" customFormat="1" ht="15" hidden="1" x14ac:dyDescent="0.25">
      <c r="B795">
        <v>10416</v>
      </c>
      <c r="C795" t="s">
        <v>616</v>
      </c>
      <c r="D795" s="1">
        <v>35446</v>
      </c>
      <c r="E795" s="1" t="str">
        <f t="shared" si="36"/>
        <v>jan</v>
      </c>
      <c r="F795" s="1" t="str">
        <f t="shared" si="37"/>
        <v>1997</v>
      </c>
      <c r="G795" s="1">
        <v>35474</v>
      </c>
      <c r="H795" s="1">
        <v>35457</v>
      </c>
      <c r="I795">
        <v>3</v>
      </c>
      <c r="J795" t="str">
        <f t="shared" si="38"/>
        <v>DHL</v>
      </c>
      <c r="K795">
        <v>22.72</v>
      </c>
      <c r="L795" t="s">
        <v>5</v>
      </c>
      <c r="M795" t="s">
        <v>618</v>
      </c>
      <c r="N795" t="s">
        <v>619</v>
      </c>
      <c r="P795" t="s">
        <v>620</v>
      </c>
      <c r="Q795" t="s">
        <v>621</v>
      </c>
    </row>
    <row r="796" spans="2:17" customFormat="1" ht="15" hidden="1" x14ac:dyDescent="0.25">
      <c r="B796">
        <v>10437</v>
      </c>
      <c r="C796" t="s">
        <v>616</v>
      </c>
      <c r="D796" s="1">
        <v>35466</v>
      </c>
      <c r="E796" s="1" t="str">
        <f t="shared" si="36"/>
        <v>fev</v>
      </c>
      <c r="F796" s="1" t="str">
        <f t="shared" si="37"/>
        <v>1997</v>
      </c>
      <c r="G796" s="1">
        <v>35494</v>
      </c>
      <c r="H796" s="1">
        <v>35473</v>
      </c>
      <c r="I796">
        <v>1</v>
      </c>
      <c r="J796" t="str">
        <f t="shared" si="38"/>
        <v>UPS</v>
      </c>
      <c r="K796">
        <v>19.97</v>
      </c>
      <c r="L796" t="s">
        <v>5</v>
      </c>
      <c r="M796" t="s">
        <v>618</v>
      </c>
      <c r="N796" t="s">
        <v>619</v>
      </c>
      <c r="P796" t="s">
        <v>620</v>
      </c>
      <c r="Q796" t="s">
        <v>621</v>
      </c>
    </row>
    <row r="797" spans="2:17" customFormat="1" ht="15" hidden="1" x14ac:dyDescent="0.25">
      <c r="B797">
        <v>10455</v>
      </c>
      <c r="C797" t="s">
        <v>616</v>
      </c>
      <c r="D797" s="1">
        <v>35485</v>
      </c>
      <c r="E797" s="1" t="str">
        <f t="shared" si="36"/>
        <v>fev</v>
      </c>
      <c r="F797" s="1" t="str">
        <f t="shared" si="37"/>
        <v>1997</v>
      </c>
      <c r="G797" s="1">
        <v>35527</v>
      </c>
      <c r="H797" s="1">
        <v>35492</v>
      </c>
      <c r="I797">
        <v>2</v>
      </c>
      <c r="J797" t="str">
        <f t="shared" si="38"/>
        <v>USPS</v>
      </c>
      <c r="K797">
        <v>180.45</v>
      </c>
      <c r="L797" t="s">
        <v>5</v>
      </c>
      <c r="M797" t="s">
        <v>618</v>
      </c>
      <c r="N797" t="s">
        <v>619</v>
      </c>
      <c r="P797" t="s">
        <v>620</v>
      </c>
      <c r="Q797" t="s">
        <v>621</v>
      </c>
    </row>
    <row r="798" spans="2:17" customFormat="1" ht="15" hidden="1" x14ac:dyDescent="0.25">
      <c r="B798">
        <v>10526</v>
      </c>
      <c r="C798" t="s">
        <v>616</v>
      </c>
      <c r="D798" s="1">
        <v>35555</v>
      </c>
      <c r="E798" s="1" t="str">
        <f t="shared" si="36"/>
        <v>mai</v>
      </c>
      <c r="F798" s="1" t="str">
        <f t="shared" si="37"/>
        <v>1997</v>
      </c>
      <c r="G798" s="1">
        <v>35583</v>
      </c>
      <c r="H798" s="1">
        <v>35565</v>
      </c>
      <c r="I798">
        <v>2</v>
      </c>
      <c r="J798" t="str">
        <f t="shared" si="38"/>
        <v>USPS</v>
      </c>
      <c r="K798">
        <v>58.59</v>
      </c>
      <c r="L798" t="s">
        <v>5</v>
      </c>
      <c r="M798" t="s">
        <v>618</v>
      </c>
      <c r="N798" t="s">
        <v>619</v>
      </c>
      <c r="P798" t="s">
        <v>620</v>
      </c>
      <c r="Q798" t="s">
        <v>621</v>
      </c>
    </row>
    <row r="799" spans="2:17" customFormat="1" ht="15" hidden="1" x14ac:dyDescent="0.25">
      <c r="B799">
        <v>10553</v>
      </c>
      <c r="C799" t="s">
        <v>616</v>
      </c>
      <c r="D799" s="1">
        <v>35580</v>
      </c>
      <c r="E799" s="1" t="str">
        <f t="shared" si="36"/>
        <v>mai</v>
      </c>
      <c r="F799" s="1" t="str">
        <f t="shared" si="37"/>
        <v>1997</v>
      </c>
      <c r="G799" s="1">
        <v>35608</v>
      </c>
      <c r="H799" s="1">
        <v>35584</v>
      </c>
      <c r="I799">
        <v>2</v>
      </c>
      <c r="J799" t="str">
        <f t="shared" si="38"/>
        <v>USPS</v>
      </c>
      <c r="K799">
        <v>149.49</v>
      </c>
      <c r="L799" t="s">
        <v>5</v>
      </c>
      <c r="M799" t="s">
        <v>618</v>
      </c>
      <c r="N799" t="s">
        <v>619</v>
      </c>
      <c r="P799" t="s">
        <v>620</v>
      </c>
      <c r="Q799" t="s">
        <v>621</v>
      </c>
    </row>
    <row r="800" spans="2:17" customFormat="1" ht="15" hidden="1" x14ac:dyDescent="0.25">
      <c r="B800">
        <v>10583</v>
      </c>
      <c r="C800" t="s">
        <v>616</v>
      </c>
      <c r="D800" s="1">
        <v>35611</v>
      </c>
      <c r="E800" s="1" t="str">
        <f t="shared" si="36"/>
        <v>jun</v>
      </c>
      <c r="F800" s="1" t="str">
        <f t="shared" si="37"/>
        <v>1997</v>
      </c>
      <c r="G800" s="1">
        <v>35639</v>
      </c>
      <c r="H800" s="1">
        <v>35615</v>
      </c>
      <c r="I800">
        <v>2</v>
      </c>
      <c r="J800" t="str">
        <f t="shared" si="38"/>
        <v>USPS</v>
      </c>
      <c r="K800">
        <v>7.28</v>
      </c>
      <c r="L800" t="s">
        <v>5</v>
      </c>
      <c r="M800" t="s">
        <v>618</v>
      </c>
      <c r="N800" t="s">
        <v>619</v>
      </c>
      <c r="P800" t="s">
        <v>620</v>
      </c>
      <c r="Q800" t="s">
        <v>621</v>
      </c>
    </row>
    <row r="801" spans="2:17" customFormat="1" ht="15" hidden="1" x14ac:dyDescent="0.25">
      <c r="B801">
        <v>10636</v>
      </c>
      <c r="C801" t="s">
        <v>616</v>
      </c>
      <c r="D801" s="1">
        <v>35661</v>
      </c>
      <c r="E801" s="1" t="str">
        <f t="shared" si="36"/>
        <v>ago</v>
      </c>
      <c r="F801" s="1" t="str">
        <f t="shared" si="37"/>
        <v>1997</v>
      </c>
      <c r="G801" s="1">
        <v>35689</v>
      </c>
      <c r="H801" s="1">
        <v>35668</v>
      </c>
      <c r="I801">
        <v>1</v>
      </c>
      <c r="J801" t="str">
        <f t="shared" si="38"/>
        <v>UPS</v>
      </c>
      <c r="K801">
        <v>1.1499999999999999</v>
      </c>
      <c r="L801" t="s">
        <v>5</v>
      </c>
      <c r="M801" t="s">
        <v>618</v>
      </c>
      <c r="N801" t="s">
        <v>619</v>
      </c>
      <c r="P801" t="s">
        <v>620</v>
      </c>
      <c r="Q801" t="s">
        <v>621</v>
      </c>
    </row>
    <row r="802" spans="2:17" customFormat="1" ht="15" hidden="1" x14ac:dyDescent="0.25">
      <c r="B802">
        <v>10750</v>
      </c>
      <c r="C802" t="s">
        <v>616</v>
      </c>
      <c r="D802" s="1">
        <v>35755</v>
      </c>
      <c r="E802" s="1" t="str">
        <f t="shared" si="36"/>
        <v>nov</v>
      </c>
      <c r="F802" s="1" t="str">
        <f t="shared" si="37"/>
        <v>1997</v>
      </c>
      <c r="G802" s="1">
        <v>35783</v>
      </c>
      <c r="H802" s="1">
        <v>35758</v>
      </c>
      <c r="I802">
        <v>1</v>
      </c>
      <c r="J802" t="str">
        <f t="shared" si="38"/>
        <v>UPS</v>
      </c>
      <c r="K802">
        <v>79.3</v>
      </c>
      <c r="L802" t="s">
        <v>5</v>
      </c>
      <c r="M802" t="s">
        <v>618</v>
      </c>
      <c r="N802" t="s">
        <v>619</v>
      </c>
      <c r="P802" t="s">
        <v>620</v>
      </c>
      <c r="Q802" t="s">
        <v>621</v>
      </c>
    </row>
    <row r="803" spans="2:17" customFormat="1" ht="15" hidden="1" x14ac:dyDescent="0.25">
      <c r="B803">
        <v>10781</v>
      </c>
      <c r="C803" t="s">
        <v>616</v>
      </c>
      <c r="D803" s="1">
        <v>35781</v>
      </c>
      <c r="E803" s="1" t="str">
        <f t="shared" si="36"/>
        <v>dez</v>
      </c>
      <c r="F803" s="1" t="str">
        <f t="shared" si="37"/>
        <v>1997</v>
      </c>
      <c r="G803" s="1">
        <v>35809</v>
      </c>
      <c r="H803" s="1">
        <v>35783</v>
      </c>
      <c r="I803">
        <v>3</v>
      </c>
      <c r="J803" t="str">
        <f t="shared" si="38"/>
        <v>DHL</v>
      </c>
      <c r="K803">
        <v>73.16</v>
      </c>
      <c r="L803" t="s">
        <v>5</v>
      </c>
      <c r="M803" t="s">
        <v>618</v>
      </c>
      <c r="N803" t="s">
        <v>619</v>
      </c>
      <c r="P803" t="s">
        <v>620</v>
      </c>
      <c r="Q803" t="s">
        <v>621</v>
      </c>
    </row>
    <row r="804" spans="2:17" customFormat="1" ht="15" hidden="1" x14ac:dyDescent="0.25">
      <c r="B804">
        <v>11025</v>
      </c>
      <c r="C804" t="s">
        <v>616</v>
      </c>
      <c r="D804" s="1">
        <v>35900</v>
      </c>
      <c r="E804" s="1" t="str">
        <f t="shared" si="36"/>
        <v>abr</v>
      </c>
      <c r="F804" s="1" t="str">
        <f t="shared" si="37"/>
        <v>1998</v>
      </c>
      <c r="G804" s="1">
        <v>35928</v>
      </c>
      <c r="H804" s="1">
        <v>35909</v>
      </c>
      <c r="I804">
        <v>3</v>
      </c>
      <c r="J804" t="str">
        <f t="shared" si="38"/>
        <v>DHL</v>
      </c>
      <c r="K804">
        <v>29.17</v>
      </c>
      <c r="L804" t="s">
        <v>5</v>
      </c>
      <c r="M804" t="s">
        <v>618</v>
      </c>
      <c r="N804" t="s">
        <v>619</v>
      </c>
      <c r="P804" t="s">
        <v>620</v>
      </c>
      <c r="Q804" t="s">
        <v>621</v>
      </c>
    </row>
    <row r="805" spans="2:17" customFormat="1" ht="15" hidden="1" x14ac:dyDescent="0.25">
      <c r="B805">
        <v>10256</v>
      </c>
      <c r="C805" t="s">
        <v>623</v>
      </c>
      <c r="D805" s="1">
        <v>35261</v>
      </c>
      <c r="E805" s="1" t="str">
        <f t="shared" si="36"/>
        <v>jul</v>
      </c>
      <c r="F805" s="1" t="str">
        <f t="shared" si="37"/>
        <v>1996</v>
      </c>
      <c r="G805" s="1">
        <v>35289</v>
      </c>
      <c r="H805" s="1">
        <v>35263</v>
      </c>
      <c r="I805">
        <v>2</v>
      </c>
      <c r="J805" t="str">
        <f t="shared" si="38"/>
        <v>USPS</v>
      </c>
      <c r="K805">
        <v>13.97</v>
      </c>
      <c r="L805" t="s">
        <v>4</v>
      </c>
      <c r="M805" t="s">
        <v>625</v>
      </c>
      <c r="N805" t="s">
        <v>626</v>
      </c>
      <c r="O805" t="s">
        <v>187</v>
      </c>
      <c r="P805" t="s">
        <v>627</v>
      </c>
      <c r="Q805" t="s">
        <v>189</v>
      </c>
    </row>
    <row r="806" spans="2:17" customFormat="1" ht="15" hidden="1" x14ac:dyDescent="0.25">
      <c r="B806">
        <v>10420</v>
      </c>
      <c r="C806" t="s">
        <v>623</v>
      </c>
      <c r="D806" s="1">
        <v>35451</v>
      </c>
      <c r="E806" s="1" t="str">
        <f t="shared" si="36"/>
        <v>jan</v>
      </c>
      <c r="F806" s="1" t="str">
        <f t="shared" si="37"/>
        <v>1997</v>
      </c>
      <c r="G806" s="1">
        <v>35479</v>
      </c>
      <c r="H806" s="1">
        <v>35457</v>
      </c>
      <c r="I806">
        <v>1</v>
      </c>
      <c r="J806" t="str">
        <f t="shared" si="38"/>
        <v>UPS</v>
      </c>
      <c r="K806">
        <v>44.12</v>
      </c>
      <c r="L806" t="s">
        <v>4</v>
      </c>
      <c r="M806" t="s">
        <v>625</v>
      </c>
      <c r="N806" t="s">
        <v>626</v>
      </c>
      <c r="O806" t="s">
        <v>187</v>
      </c>
      <c r="P806" t="s">
        <v>627</v>
      </c>
      <c r="Q806" t="s">
        <v>189</v>
      </c>
    </row>
    <row r="807" spans="2:17" customFormat="1" ht="15" hidden="1" x14ac:dyDescent="0.25">
      <c r="B807">
        <v>10585</v>
      </c>
      <c r="C807" t="s">
        <v>623</v>
      </c>
      <c r="D807" s="1">
        <v>35612</v>
      </c>
      <c r="E807" s="1" t="str">
        <f t="shared" si="36"/>
        <v>jul</v>
      </c>
      <c r="F807" s="1" t="str">
        <f t="shared" si="37"/>
        <v>1997</v>
      </c>
      <c r="G807" s="1">
        <v>35640</v>
      </c>
      <c r="H807" s="1">
        <v>35621</v>
      </c>
      <c r="I807">
        <v>1</v>
      </c>
      <c r="J807" t="str">
        <f t="shared" si="38"/>
        <v>UPS</v>
      </c>
      <c r="K807">
        <v>13.41</v>
      </c>
      <c r="L807" t="s">
        <v>4</v>
      </c>
      <c r="M807" t="s">
        <v>625</v>
      </c>
      <c r="N807" t="s">
        <v>626</v>
      </c>
      <c r="O807" t="s">
        <v>187</v>
      </c>
      <c r="P807" t="s">
        <v>627</v>
      </c>
      <c r="Q807" t="s">
        <v>189</v>
      </c>
    </row>
    <row r="808" spans="2:17" customFormat="1" ht="15" hidden="1" x14ac:dyDescent="0.25">
      <c r="B808">
        <v>10644</v>
      </c>
      <c r="C808" t="s">
        <v>623</v>
      </c>
      <c r="D808" s="1">
        <v>35667</v>
      </c>
      <c r="E808" s="1" t="str">
        <f t="shared" si="36"/>
        <v>ago</v>
      </c>
      <c r="F808" s="1" t="str">
        <f t="shared" si="37"/>
        <v>1997</v>
      </c>
      <c r="G808" s="1">
        <v>35695</v>
      </c>
      <c r="H808" s="1">
        <v>35674</v>
      </c>
      <c r="I808">
        <v>2</v>
      </c>
      <c r="J808" t="str">
        <f t="shared" si="38"/>
        <v>USPS</v>
      </c>
      <c r="K808">
        <v>0.14000000000000001</v>
      </c>
      <c r="L808" t="s">
        <v>4</v>
      </c>
      <c r="M808" t="s">
        <v>625</v>
      </c>
      <c r="N808" t="s">
        <v>626</v>
      </c>
      <c r="O808" t="s">
        <v>187</v>
      </c>
      <c r="P808" t="s">
        <v>627</v>
      </c>
      <c r="Q808" t="s">
        <v>189</v>
      </c>
    </row>
    <row r="809" spans="2:17" customFormat="1" ht="15" hidden="1" x14ac:dyDescent="0.25">
      <c r="B809">
        <v>10803</v>
      </c>
      <c r="C809" t="s">
        <v>623</v>
      </c>
      <c r="D809" s="1">
        <v>35794</v>
      </c>
      <c r="E809" s="1" t="str">
        <f t="shared" si="36"/>
        <v>dez</v>
      </c>
      <c r="F809" s="1" t="str">
        <f t="shared" si="37"/>
        <v>1997</v>
      </c>
      <c r="G809" s="1">
        <v>35822</v>
      </c>
      <c r="H809" s="1">
        <v>35801</v>
      </c>
      <c r="I809">
        <v>1</v>
      </c>
      <c r="J809" t="str">
        <f t="shared" si="38"/>
        <v>UPS</v>
      </c>
      <c r="K809">
        <v>55.23</v>
      </c>
      <c r="L809" t="s">
        <v>4</v>
      </c>
      <c r="M809" t="s">
        <v>625</v>
      </c>
      <c r="N809" t="s">
        <v>626</v>
      </c>
      <c r="O809" t="s">
        <v>187</v>
      </c>
      <c r="P809" t="s">
        <v>627</v>
      </c>
      <c r="Q809" t="s">
        <v>189</v>
      </c>
    </row>
    <row r="810" spans="2:17" customFormat="1" ht="15" hidden="1" x14ac:dyDescent="0.25">
      <c r="B810">
        <v>10809</v>
      </c>
      <c r="C810" t="s">
        <v>623</v>
      </c>
      <c r="D810" s="1">
        <v>35796</v>
      </c>
      <c r="E810" s="1" t="str">
        <f t="shared" si="36"/>
        <v>jan</v>
      </c>
      <c r="F810" s="1" t="str">
        <f t="shared" si="37"/>
        <v>1998</v>
      </c>
      <c r="G810" s="1">
        <v>35824</v>
      </c>
      <c r="H810" s="1">
        <v>35802</v>
      </c>
      <c r="I810">
        <v>1</v>
      </c>
      <c r="J810" t="str">
        <f t="shared" si="38"/>
        <v>UPS</v>
      </c>
      <c r="K810">
        <v>4.87</v>
      </c>
      <c r="L810" t="s">
        <v>4</v>
      </c>
      <c r="M810" t="s">
        <v>625</v>
      </c>
      <c r="N810" t="s">
        <v>626</v>
      </c>
      <c r="O810" t="s">
        <v>187</v>
      </c>
      <c r="P810" t="s">
        <v>627</v>
      </c>
      <c r="Q810" t="s">
        <v>189</v>
      </c>
    </row>
    <row r="811" spans="2:17" customFormat="1" ht="15" hidden="1" x14ac:dyDescent="0.25">
      <c r="B811">
        <v>10900</v>
      </c>
      <c r="C811" t="s">
        <v>623</v>
      </c>
      <c r="D811" s="1">
        <v>35846</v>
      </c>
      <c r="E811" s="1" t="str">
        <f t="shared" si="36"/>
        <v>fev</v>
      </c>
      <c r="F811" s="1" t="str">
        <f t="shared" si="37"/>
        <v>1998</v>
      </c>
      <c r="G811" s="1">
        <v>35874</v>
      </c>
      <c r="H811" s="1">
        <v>35858</v>
      </c>
      <c r="I811">
        <v>2</v>
      </c>
      <c r="J811" t="str">
        <f t="shared" si="38"/>
        <v>USPS</v>
      </c>
      <c r="K811">
        <v>1.66</v>
      </c>
      <c r="L811" t="s">
        <v>4</v>
      </c>
      <c r="M811" t="s">
        <v>625</v>
      </c>
      <c r="N811" t="s">
        <v>626</v>
      </c>
      <c r="O811" t="s">
        <v>187</v>
      </c>
      <c r="P811" t="s">
        <v>627</v>
      </c>
      <c r="Q811" t="s">
        <v>189</v>
      </c>
    </row>
    <row r="812" spans="2:17" customFormat="1" ht="15" hidden="1" x14ac:dyDescent="0.25">
      <c r="B812">
        <v>10905</v>
      </c>
      <c r="C812" t="s">
        <v>623</v>
      </c>
      <c r="D812" s="1">
        <v>35850</v>
      </c>
      <c r="E812" s="1" t="str">
        <f t="shared" si="36"/>
        <v>fev</v>
      </c>
      <c r="F812" s="1" t="str">
        <f t="shared" si="37"/>
        <v>1998</v>
      </c>
      <c r="G812" s="1">
        <v>35878</v>
      </c>
      <c r="H812" s="1">
        <v>35860</v>
      </c>
      <c r="I812">
        <v>2</v>
      </c>
      <c r="J812" t="str">
        <f t="shared" si="38"/>
        <v>USPS</v>
      </c>
      <c r="K812">
        <v>13.72</v>
      </c>
      <c r="L812" t="s">
        <v>4</v>
      </c>
      <c r="M812" t="s">
        <v>625</v>
      </c>
      <c r="N812" t="s">
        <v>626</v>
      </c>
      <c r="O812" t="s">
        <v>187</v>
      </c>
      <c r="P812" t="s">
        <v>627</v>
      </c>
      <c r="Q812" t="s">
        <v>189</v>
      </c>
    </row>
    <row r="813" spans="2:17" customFormat="1" ht="15" hidden="1" x14ac:dyDescent="0.25">
      <c r="B813">
        <v>10935</v>
      </c>
      <c r="C813" t="s">
        <v>623</v>
      </c>
      <c r="D813" s="1">
        <v>35863</v>
      </c>
      <c r="E813" s="1" t="str">
        <f t="shared" si="36"/>
        <v>mar</v>
      </c>
      <c r="F813" s="1" t="str">
        <f t="shared" si="37"/>
        <v>1998</v>
      </c>
      <c r="G813" s="1">
        <v>35891</v>
      </c>
      <c r="H813" s="1">
        <v>35872</v>
      </c>
      <c r="I813">
        <v>3</v>
      </c>
      <c r="J813" t="str">
        <f t="shared" si="38"/>
        <v>DHL</v>
      </c>
      <c r="K813">
        <v>47.59</v>
      </c>
      <c r="L813" t="s">
        <v>4</v>
      </c>
      <c r="M813" t="s">
        <v>625</v>
      </c>
      <c r="N813" t="s">
        <v>626</v>
      </c>
      <c r="O813" t="s">
        <v>187</v>
      </c>
      <c r="P813" t="s">
        <v>627</v>
      </c>
      <c r="Q813" t="s">
        <v>189</v>
      </c>
    </row>
    <row r="814" spans="2:17" customFormat="1" ht="15" hidden="1" x14ac:dyDescent="0.25">
      <c r="B814">
        <v>10269</v>
      </c>
      <c r="C814" t="s">
        <v>629</v>
      </c>
      <c r="D814" s="1">
        <v>35277</v>
      </c>
      <c r="E814" s="1" t="str">
        <f t="shared" si="36"/>
        <v>jul</v>
      </c>
      <c r="F814" s="1" t="str">
        <f t="shared" si="37"/>
        <v>1996</v>
      </c>
      <c r="G814" s="1">
        <v>35291</v>
      </c>
      <c r="H814" s="1">
        <v>35286</v>
      </c>
      <c r="I814">
        <v>1</v>
      </c>
      <c r="J814" t="str">
        <f t="shared" si="38"/>
        <v>UPS</v>
      </c>
      <c r="K814">
        <v>4.5599999999999996</v>
      </c>
      <c r="L814" t="s">
        <v>3</v>
      </c>
      <c r="M814" t="s">
        <v>669</v>
      </c>
      <c r="N814" t="s">
        <v>632</v>
      </c>
      <c r="O814" t="s">
        <v>359</v>
      </c>
      <c r="P814" t="s">
        <v>670</v>
      </c>
      <c r="Q814" t="s">
        <v>290</v>
      </c>
    </row>
    <row r="815" spans="2:17" customFormat="1" ht="15" hidden="1" x14ac:dyDescent="0.25">
      <c r="B815">
        <v>10344</v>
      </c>
      <c r="C815" t="s">
        <v>629</v>
      </c>
      <c r="D815" s="1">
        <v>35370</v>
      </c>
      <c r="E815" s="1" t="str">
        <f t="shared" si="36"/>
        <v>nov</v>
      </c>
      <c r="F815" s="1" t="str">
        <f t="shared" si="37"/>
        <v>1996</v>
      </c>
      <c r="G815" s="1">
        <v>35398</v>
      </c>
      <c r="H815" s="1">
        <v>35374</v>
      </c>
      <c r="I815">
        <v>2</v>
      </c>
      <c r="J815" t="str">
        <f t="shared" si="38"/>
        <v>USPS</v>
      </c>
      <c r="K815">
        <v>23.29</v>
      </c>
      <c r="L815" t="s">
        <v>3</v>
      </c>
      <c r="M815" t="s">
        <v>669</v>
      </c>
      <c r="N815" t="s">
        <v>632</v>
      </c>
      <c r="O815" t="s">
        <v>359</v>
      </c>
      <c r="P815" t="s">
        <v>670</v>
      </c>
      <c r="Q815" t="s">
        <v>290</v>
      </c>
    </row>
    <row r="816" spans="2:17" customFormat="1" ht="15" hidden="1" x14ac:dyDescent="0.25">
      <c r="B816">
        <v>10469</v>
      </c>
      <c r="C816" t="s">
        <v>629</v>
      </c>
      <c r="D816" s="1">
        <v>35499</v>
      </c>
      <c r="E816" s="1" t="str">
        <f t="shared" si="36"/>
        <v>mar</v>
      </c>
      <c r="F816" s="1" t="str">
        <f t="shared" si="37"/>
        <v>1997</v>
      </c>
      <c r="G816" s="1">
        <v>35527</v>
      </c>
      <c r="H816" s="1">
        <v>35503</v>
      </c>
      <c r="I816">
        <v>1</v>
      </c>
      <c r="J816" t="str">
        <f t="shared" si="38"/>
        <v>UPS</v>
      </c>
      <c r="K816">
        <v>60.18</v>
      </c>
      <c r="L816" t="s">
        <v>3</v>
      </c>
      <c r="M816" t="s">
        <v>669</v>
      </c>
      <c r="N816" t="s">
        <v>632</v>
      </c>
      <c r="O816" t="s">
        <v>359</v>
      </c>
      <c r="P816" t="s">
        <v>670</v>
      </c>
      <c r="Q816" t="s">
        <v>290</v>
      </c>
    </row>
    <row r="817" spans="2:17" customFormat="1" ht="15" hidden="1" x14ac:dyDescent="0.25">
      <c r="B817">
        <v>10483</v>
      </c>
      <c r="C817" t="s">
        <v>629</v>
      </c>
      <c r="D817" s="1">
        <v>35513</v>
      </c>
      <c r="E817" s="1" t="str">
        <f t="shared" si="36"/>
        <v>mar</v>
      </c>
      <c r="F817" s="1" t="str">
        <f t="shared" si="37"/>
        <v>1997</v>
      </c>
      <c r="G817" s="1">
        <v>35541</v>
      </c>
      <c r="H817" s="1">
        <v>35545</v>
      </c>
      <c r="I817">
        <v>2</v>
      </c>
      <c r="J817" t="str">
        <f t="shared" si="38"/>
        <v>USPS</v>
      </c>
      <c r="K817">
        <v>15.28</v>
      </c>
      <c r="L817" t="s">
        <v>3</v>
      </c>
      <c r="M817" t="s">
        <v>669</v>
      </c>
      <c r="N817" t="s">
        <v>632</v>
      </c>
      <c r="O817" t="s">
        <v>359</v>
      </c>
      <c r="P817" t="s">
        <v>670</v>
      </c>
      <c r="Q817" t="s">
        <v>290</v>
      </c>
    </row>
    <row r="818" spans="2:17" customFormat="1" ht="15" hidden="1" x14ac:dyDescent="0.25">
      <c r="B818">
        <v>10504</v>
      </c>
      <c r="C818" t="s">
        <v>629</v>
      </c>
      <c r="D818" s="1">
        <v>35531</v>
      </c>
      <c r="E818" s="1" t="str">
        <f t="shared" si="36"/>
        <v>abr</v>
      </c>
      <c r="F818" s="1" t="str">
        <f t="shared" si="37"/>
        <v>1997</v>
      </c>
      <c r="G818" s="1">
        <v>35559</v>
      </c>
      <c r="H818" s="1">
        <v>35538</v>
      </c>
      <c r="I818">
        <v>3</v>
      </c>
      <c r="J818" t="str">
        <f t="shared" si="38"/>
        <v>DHL</v>
      </c>
      <c r="K818">
        <v>59.13</v>
      </c>
      <c r="L818" t="s">
        <v>3</v>
      </c>
      <c r="M818" t="s">
        <v>669</v>
      </c>
      <c r="N818" t="s">
        <v>632</v>
      </c>
      <c r="O818" t="s">
        <v>359</v>
      </c>
      <c r="P818" t="s">
        <v>670</v>
      </c>
      <c r="Q818" t="s">
        <v>290</v>
      </c>
    </row>
    <row r="819" spans="2:17" customFormat="1" ht="15" hidden="1" x14ac:dyDescent="0.25">
      <c r="B819">
        <v>10596</v>
      </c>
      <c r="C819" t="s">
        <v>629</v>
      </c>
      <c r="D819" s="1">
        <v>35622</v>
      </c>
      <c r="E819" s="1" t="str">
        <f t="shared" si="36"/>
        <v>jul</v>
      </c>
      <c r="F819" s="1" t="str">
        <f t="shared" si="37"/>
        <v>1997</v>
      </c>
      <c r="G819" s="1">
        <v>35650</v>
      </c>
      <c r="H819" s="1">
        <v>35654</v>
      </c>
      <c r="I819">
        <v>1</v>
      </c>
      <c r="J819" t="str">
        <f t="shared" si="38"/>
        <v>UPS</v>
      </c>
      <c r="K819">
        <v>16.34</v>
      </c>
      <c r="L819" t="s">
        <v>3</v>
      </c>
      <c r="M819" t="s">
        <v>669</v>
      </c>
      <c r="N819" t="s">
        <v>632</v>
      </c>
      <c r="O819" t="s">
        <v>359</v>
      </c>
      <c r="P819" t="s">
        <v>670</v>
      </c>
      <c r="Q819" t="s">
        <v>290</v>
      </c>
    </row>
    <row r="820" spans="2:17" customFormat="1" ht="15" hidden="1" x14ac:dyDescent="0.25">
      <c r="B820">
        <v>10693</v>
      </c>
      <c r="C820" t="s">
        <v>629</v>
      </c>
      <c r="D820" s="1">
        <v>35709</v>
      </c>
      <c r="E820" s="1" t="str">
        <f t="shared" si="36"/>
        <v>out</v>
      </c>
      <c r="F820" s="1" t="str">
        <f t="shared" si="37"/>
        <v>1997</v>
      </c>
      <c r="G820" s="1">
        <v>35723</v>
      </c>
      <c r="H820" s="1">
        <v>35713</v>
      </c>
      <c r="I820">
        <v>3</v>
      </c>
      <c r="J820" t="str">
        <f t="shared" si="38"/>
        <v>DHL</v>
      </c>
      <c r="K820">
        <v>139.34</v>
      </c>
      <c r="L820" t="s">
        <v>3</v>
      </c>
      <c r="M820" t="s">
        <v>669</v>
      </c>
      <c r="N820" t="s">
        <v>632</v>
      </c>
      <c r="O820" t="s">
        <v>359</v>
      </c>
      <c r="P820" t="s">
        <v>670</v>
      </c>
      <c r="Q820" t="s">
        <v>290</v>
      </c>
    </row>
    <row r="821" spans="2:17" customFormat="1" ht="15" hidden="1" x14ac:dyDescent="0.25">
      <c r="B821">
        <v>10696</v>
      </c>
      <c r="C821" t="s">
        <v>629</v>
      </c>
      <c r="D821" s="1">
        <v>35711</v>
      </c>
      <c r="E821" s="1" t="str">
        <f t="shared" si="36"/>
        <v>out</v>
      </c>
      <c r="F821" s="1" t="str">
        <f t="shared" si="37"/>
        <v>1997</v>
      </c>
      <c r="G821" s="1">
        <v>35753</v>
      </c>
      <c r="H821" s="1">
        <v>35717</v>
      </c>
      <c r="I821">
        <v>3</v>
      </c>
      <c r="J821" t="str">
        <f t="shared" si="38"/>
        <v>DHL</v>
      </c>
      <c r="K821">
        <v>102.55</v>
      </c>
      <c r="L821" t="s">
        <v>3</v>
      </c>
      <c r="M821" t="s">
        <v>669</v>
      </c>
      <c r="N821" t="s">
        <v>632</v>
      </c>
      <c r="O821" t="s">
        <v>359</v>
      </c>
      <c r="P821" t="s">
        <v>670</v>
      </c>
      <c r="Q821" t="s">
        <v>290</v>
      </c>
    </row>
    <row r="822" spans="2:17" customFormat="1" ht="15" hidden="1" x14ac:dyDescent="0.25">
      <c r="B822">
        <v>10723</v>
      </c>
      <c r="C822" t="s">
        <v>629</v>
      </c>
      <c r="D822" s="1">
        <v>35733</v>
      </c>
      <c r="E822" s="1" t="str">
        <f t="shared" si="36"/>
        <v>out</v>
      </c>
      <c r="F822" s="1" t="str">
        <f t="shared" si="37"/>
        <v>1997</v>
      </c>
      <c r="G822" s="1">
        <v>35761</v>
      </c>
      <c r="H822" s="1">
        <v>35759</v>
      </c>
      <c r="I822">
        <v>1</v>
      </c>
      <c r="J822" t="str">
        <f t="shared" si="38"/>
        <v>UPS</v>
      </c>
      <c r="K822">
        <v>21.72</v>
      </c>
      <c r="L822" t="s">
        <v>3</v>
      </c>
      <c r="M822" t="s">
        <v>669</v>
      </c>
      <c r="N822" t="s">
        <v>632</v>
      </c>
      <c r="O822" t="s">
        <v>359</v>
      </c>
      <c r="P822" t="s">
        <v>670</v>
      </c>
      <c r="Q822" t="s">
        <v>290</v>
      </c>
    </row>
    <row r="823" spans="2:17" customFormat="1" ht="15" hidden="1" x14ac:dyDescent="0.25">
      <c r="B823">
        <v>10740</v>
      </c>
      <c r="C823" t="s">
        <v>629</v>
      </c>
      <c r="D823" s="1">
        <v>35747</v>
      </c>
      <c r="E823" s="1" t="str">
        <f t="shared" si="36"/>
        <v>nov</v>
      </c>
      <c r="F823" s="1" t="str">
        <f t="shared" si="37"/>
        <v>1997</v>
      </c>
      <c r="G823" s="1">
        <v>35775</v>
      </c>
      <c r="H823" s="1">
        <v>35759</v>
      </c>
      <c r="I823">
        <v>2</v>
      </c>
      <c r="J823" t="str">
        <f t="shared" si="38"/>
        <v>USPS</v>
      </c>
      <c r="K823">
        <v>81.88</v>
      </c>
      <c r="L823" t="s">
        <v>3</v>
      </c>
      <c r="M823" t="s">
        <v>669</v>
      </c>
      <c r="N823" t="s">
        <v>632</v>
      </c>
      <c r="O823" t="s">
        <v>359</v>
      </c>
      <c r="P823" t="s">
        <v>670</v>
      </c>
      <c r="Q823" t="s">
        <v>290</v>
      </c>
    </row>
    <row r="824" spans="2:17" customFormat="1" ht="15" hidden="1" x14ac:dyDescent="0.25">
      <c r="B824">
        <v>10861</v>
      </c>
      <c r="C824" t="s">
        <v>629</v>
      </c>
      <c r="D824" s="1">
        <v>35825</v>
      </c>
      <c r="E824" s="1" t="str">
        <f t="shared" si="36"/>
        <v>jan</v>
      </c>
      <c r="F824" s="1" t="str">
        <f t="shared" si="37"/>
        <v>1998</v>
      </c>
      <c r="G824" s="1">
        <v>35853</v>
      </c>
      <c r="H824" s="1">
        <v>35843</v>
      </c>
      <c r="I824">
        <v>2</v>
      </c>
      <c r="J824" t="str">
        <f t="shared" si="38"/>
        <v>USPS</v>
      </c>
      <c r="K824">
        <v>14.93</v>
      </c>
      <c r="L824" t="s">
        <v>3</v>
      </c>
      <c r="M824" t="s">
        <v>669</v>
      </c>
      <c r="N824" t="s">
        <v>632</v>
      </c>
      <c r="O824" t="s">
        <v>359</v>
      </c>
      <c r="P824" t="s">
        <v>670</v>
      </c>
      <c r="Q824" t="s">
        <v>290</v>
      </c>
    </row>
    <row r="825" spans="2:17" customFormat="1" ht="15" hidden="1" x14ac:dyDescent="0.25">
      <c r="B825">
        <v>10904</v>
      </c>
      <c r="C825" t="s">
        <v>629</v>
      </c>
      <c r="D825" s="1">
        <v>35850</v>
      </c>
      <c r="E825" s="1" t="str">
        <f t="shared" si="36"/>
        <v>fev</v>
      </c>
      <c r="F825" s="1" t="str">
        <f t="shared" si="37"/>
        <v>1998</v>
      </c>
      <c r="G825" s="1">
        <v>35878</v>
      </c>
      <c r="H825" s="1">
        <v>35853</v>
      </c>
      <c r="I825">
        <v>3</v>
      </c>
      <c r="J825" t="str">
        <f t="shared" si="38"/>
        <v>DHL</v>
      </c>
      <c r="K825">
        <v>162.94999999999999</v>
      </c>
      <c r="L825" t="s">
        <v>3</v>
      </c>
      <c r="M825" t="s">
        <v>669</v>
      </c>
      <c r="N825" t="s">
        <v>632</v>
      </c>
      <c r="O825" t="s">
        <v>359</v>
      </c>
      <c r="P825" t="s">
        <v>670</v>
      </c>
      <c r="Q825" t="s">
        <v>290</v>
      </c>
    </row>
    <row r="826" spans="2:17" customFormat="1" ht="15" hidden="1" x14ac:dyDescent="0.25">
      <c r="B826">
        <v>11032</v>
      </c>
      <c r="C826" t="s">
        <v>629</v>
      </c>
      <c r="D826" s="1">
        <v>35902</v>
      </c>
      <c r="E826" s="1" t="str">
        <f t="shared" si="36"/>
        <v>abr</v>
      </c>
      <c r="F826" s="1" t="str">
        <f t="shared" si="37"/>
        <v>1998</v>
      </c>
      <c r="G826" s="1">
        <v>35930</v>
      </c>
      <c r="H826" s="1">
        <v>35908</v>
      </c>
      <c r="I826">
        <v>3</v>
      </c>
      <c r="J826" t="str">
        <f t="shared" si="38"/>
        <v>DHL</v>
      </c>
      <c r="K826">
        <v>606.19000000000005</v>
      </c>
      <c r="L826" t="s">
        <v>3</v>
      </c>
      <c r="M826" t="s">
        <v>669</v>
      </c>
      <c r="N826" t="s">
        <v>632</v>
      </c>
      <c r="O826" t="s">
        <v>359</v>
      </c>
      <c r="P826" t="s">
        <v>670</v>
      </c>
      <c r="Q826" t="s">
        <v>290</v>
      </c>
    </row>
    <row r="827" spans="2:17" customFormat="1" ht="15" hidden="1" x14ac:dyDescent="0.25">
      <c r="B827">
        <v>11066</v>
      </c>
      <c r="C827" t="s">
        <v>629</v>
      </c>
      <c r="D827" s="1">
        <v>35916</v>
      </c>
      <c r="E827" s="1" t="str">
        <f t="shared" si="36"/>
        <v>mai</v>
      </c>
      <c r="F827" s="1" t="str">
        <f t="shared" si="37"/>
        <v>1998</v>
      </c>
      <c r="G827" s="1">
        <v>35944</v>
      </c>
      <c r="H827" s="1">
        <v>35919</v>
      </c>
      <c r="I827">
        <v>2</v>
      </c>
      <c r="J827" t="str">
        <f t="shared" si="38"/>
        <v>USPS</v>
      </c>
      <c r="K827">
        <v>44.72</v>
      </c>
      <c r="L827" t="s">
        <v>3</v>
      </c>
      <c r="M827" t="s">
        <v>669</v>
      </c>
      <c r="N827" t="s">
        <v>632</v>
      </c>
      <c r="O827" t="s">
        <v>359</v>
      </c>
      <c r="P827" t="s">
        <v>670</v>
      </c>
      <c r="Q827" t="s">
        <v>290</v>
      </c>
    </row>
    <row r="828" spans="2:17" customFormat="1" ht="15" hidden="1" x14ac:dyDescent="0.25">
      <c r="B828">
        <v>10248</v>
      </c>
      <c r="C828" t="s">
        <v>635</v>
      </c>
      <c r="D828" s="1">
        <v>35250</v>
      </c>
      <c r="E828" s="1" t="str">
        <f t="shared" si="36"/>
        <v>jul</v>
      </c>
      <c r="F828" s="1" t="str">
        <f t="shared" si="37"/>
        <v>1996</v>
      </c>
      <c r="G828" s="1">
        <v>35278</v>
      </c>
      <c r="H828" s="1">
        <v>35262</v>
      </c>
      <c r="I828">
        <v>3</v>
      </c>
      <c r="J828" t="str">
        <f t="shared" si="38"/>
        <v>DHL</v>
      </c>
      <c r="K828">
        <v>32.380000000000003</v>
      </c>
      <c r="L828" t="s">
        <v>2</v>
      </c>
      <c r="M828" t="s">
        <v>606</v>
      </c>
      <c r="N828" t="s">
        <v>607</v>
      </c>
      <c r="P828" t="s">
        <v>608</v>
      </c>
      <c r="Q828" t="s">
        <v>134</v>
      </c>
    </row>
    <row r="829" spans="2:17" customFormat="1" ht="15" hidden="1" x14ac:dyDescent="0.25">
      <c r="B829">
        <v>10615</v>
      </c>
      <c r="C829" t="s">
        <v>635</v>
      </c>
      <c r="D829" s="1">
        <v>35641</v>
      </c>
      <c r="E829" s="1" t="str">
        <f t="shared" si="36"/>
        <v>jul</v>
      </c>
      <c r="F829" s="1" t="str">
        <f t="shared" si="37"/>
        <v>1997</v>
      </c>
      <c r="G829" s="1">
        <v>35669</v>
      </c>
      <c r="H829" s="1">
        <v>35648</v>
      </c>
      <c r="I829">
        <v>3</v>
      </c>
      <c r="J829" t="str">
        <f t="shared" si="38"/>
        <v>DHL</v>
      </c>
      <c r="K829">
        <v>0.75</v>
      </c>
      <c r="L829" t="s">
        <v>1</v>
      </c>
      <c r="M829" t="s">
        <v>638</v>
      </c>
      <c r="N829" t="s">
        <v>639</v>
      </c>
      <c r="P829" t="s">
        <v>640</v>
      </c>
      <c r="Q829" t="s">
        <v>621</v>
      </c>
    </row>
    <row r="830" spans="2:17" customFormat="1" ht="15" hidden="1" x14ac:dyDescent="0.25">
      <c r="B830">
        <v>10673</v>
      </c>
      <c r="C830" t="s">
        <v>635</v>
      </c>
      <c r="D830" s="1">
        <v>35691</v>
      </c>
      <c r="E830" s="1" t="str">
        <f t="shared" si="36"/>
        <v>set</v>
      </c>
      <c r="F830" s="1" t="str">
        <f t="shared" si="37"/>
        <v>1997</v>
      </c>
      <c r="G830" s="1">
        <v>35719</v>
      </c>
      <c r="H830" s="1">
        <v>35692</v>
      </c>
      <c r="I830">
        <v>1</v>
      </c>
      <c r="J830" t="str">
        <f t="shared" si="38"/>
        <v>UPS</v>
      </c>
      <c r="K830">
        <v>22.76</v>
      </c>
      <c r="L830" t="s">
        <v>1</v>
      </c>
      <c r="M830" t="s">
        <v>638</v>
      </c>
      <c r="N830" t="s">
        <v>639</v>
      </c>
      <c r="P830" t="s">
        <v>640</v>
      </c>
      <c r="Q830" t="s">
        <v>621</v>
      </c>
    </row>
    <row r="831" spans="2:17" customFormat="1" ht="15" hidden="1" x14ac:dyDescent="0.25">
      <c r="B831">
        <v>10695</v>
      </c>
      <c r="C831" t="s">
        <v>635</v>
      </c>
      <c r="D831" s="1">
        <v>35710</v>
      </c>
      <c r="E831" s="1" t="str">
        <f t="shared" si="36"/>
        <v>out</v>
      </c>
      <c r="F831" s="1" t="str">
        <f t="shared" si="37"/>
        <v>1997</v>
      </c>
      <c r="G831" s="1">
        <v>35752</v>
      </c>
      <c r="H831" s="1">
        <v>35717</v>
      </c>
      <c r="I831">
        <v>1</v>
      </c>
      <c r="J831" t="str">
        <f t="shared" si="38"/>
        <v>UPS</v>
      </c>
      <c r="K831">
        <v>16.72</v>
      </c>
      <c r="L831" t="s">
        <v>1</v>
      </c>
      <c r="M831" t="s">
        <v>638</v>
      </c>
      <c r="N831" t="s">
        <v>639</v>
      </c>
      <c r="P831" t="s">
        <v>640</v>
      </c>
      <c r="Q831" t="s">
        <v>621</v>
      </c>
    </row>
    <row r="832" spans="2:17" customFormat="1" ht="15" hidden="1" x14ac:dyDescent="0.25">
      <c r="B832">
        <v>10873</v>
      </c>
      <c r="C832" t="s">
        <v>635</v>
      </c>
      <c r="D832" s="1">
        <v>35832</v>
      </c>
      <c r="E832" s="1" t="str">
        <f t="shared" si="36"/>
        <v>fev</v>
      </c>
      <c r="F832" s="1" t="str">
        <f t="shared" si="37"/>
        <v>1998</v>
      </c>
      <c r="G832" s="1">
        <v>35860</v>
      </c>
      <c r="H832" s="1">
        <v>35835</v>
      </c>
      <c r="I832">
        <v>1</v>
      </c>
      <c r="J832" t="str">
        <f t="shared" si="38"/>
        <v>UPS</v>
      </c>
      <c r="K832">
        <v>0.82</v>
      </c>
      <c r="L832" t="s">
        <v>1</v>
      </c>
      <c r="M832" t="s">
        <v>638</v>
      </c>
      <c r="N832" t="s">
        <v>639</v>
      </c>
      <c r="P832" t="s">
        <v>640</v>
      </c>
      <c r="Q832" t="s">
        <v>621</v>
      </c>
    </row>
    <row r="833" spans="2:17" customFormat="1" ht="15" hidden="1" x14ac:dyDescent="0.25">
      <c r="B833">
        <v>10879</v>
      </c>
      <c r="C833" t="s">
        <v>635</v>
      </c>
      <c r="D833" s="1">
        <v>35836</v>
      </c>
      <c r="E833" s="1" t="str">
        <f t="shared" si="36"/>
        <v>fev</v>
      </c>
      <c r="F833" s="1" t="str">
        <f t="shared" si="37"/>
        <v>1998</v>
      </c>
      <c r="G833" s="1">
        <v>35864</v>
      </c>
      <c r="H833" s="1">
        <v>35838</v>
      </c>
      <c r="I833">
        <v>3</v>
      </c>
      <c r="J833" t="str">
        <f t="shared" si="38"/>
        <v>DHL</v>
      </c>
      <c r="K833">
        <v>8.5</v>
      </c>
      <c r="L833" t="s">
        <v>1</v>
      </c>
      <c r="M833" t="s">
        <v>638</v>
      </c>
      <c r="N833" t="s">
        <v>639</v>
      </c>
      <c r="P833" t="s">
        <v>640</v>
      </c>
      <c r="Q833" t="s">
        <v>621</v>
      </c>
    </row>
    <row r="834" spans="2:17" customFormat="1" ht="15" hidden="1" x14ac:dyDescent="0.25">
      <c r="B834">
        <v>10910</v>
      </c>
      <c r="C834" t="s">
        <v>635</v>
      </c>
      <c r="D834" s="1">
        <v>35852</v>
      </c>
      <c r="E834" s="1" t="str">
        <f t="shared" si="36"/>
        <v>fev</v>
      </c>
      <c r="F834" s="1" t="str">
        <f t="shared" si="37"/>
        <v>1998</v>
      </c>
      <c r="G834" s="1">
        <v>35880</v>
      </c>
      <c r="H834" s="1">
        <v>35858</v>
      </c>
      <c r="I834">
        <v>3</v>
      </c>
      <c r="J834" t="str">
        <f t="shared" si="38"/>
        <v>DHL</v>
      </c>
      <c r="K834">
        <v>38.11</v>
      </c>
      <c r="L834" t="s">
        <v>1</v>
      </c>
      <c r="M834" t="s">
        <v>638</v>
      </c>
      <c r="N834" t="s">
        <v>639</v>
      </c>
      <c r="P834" t="s">
        <v>640</v>
      </c>
      <c r="Q834" t="s">
        <v>621</v>
      </c>
    </row>
    <row r="835" spans="2:17" customFormat="1" ht="15" hidden="1" x14ac:dyDescent="0.25">
      <c r="B835">
        <v>11005</v>
      </c>
      <c r="C835" t="s">
        <v>635</v>
      </c>
      <c r="D835" s="1">
        <v>35892</v>
      </c>
      <c r="E835" s="1" t="str">
        <f t="shared" si="36"/>
        <v>abr</v>
      </c>
      <c r="F835" s="1" t="str">
        <f t="shared" si="37"/>
        <v>1998</v>
      </c>
      <c r="G835" s="1">
        <v>35920</v>
      </c>
      <c r="H835" s="1">
        <v>35895</v>
      </c>
      <c r="I835">
        <v>1</v>
      </c>
      <c r="J835" t="str">
        <f t="shared" si="38"/>
        <v>UPS</v>
      </c>
      <c r="K835">
        <v>0.75</v>
      </c>
      <c r="L835" t="s">
        <v>1</v>
      </c>
      <c r="M835" t="s">
        <v>638</v>
      </c>
      <c r="N835" t="s">
        <v>639</v>
      </c>
      <c r="P835" t="s">
        <v>640</v>
      </c>
      <c r="Q835" t="s">
        <v>621</v>
      </c>
    </row>
    <row r="836" spans="2:17" customFormat="1" ht="15" hidden="1" x14ac:dyDescent="0.25">
      <c r="B836">
        <v>10374</v>
      </c>
      <c r="C836" t="s">
        <v>642</v>
      </c>
      <c r="D836" s="1">
        <v>35404</v>
      </c>
      <c r="E836" s="1" t="str">
        <f t="shared" si="36"/>
        <v>dez</v>
      </c>
      <c r="F836" s="1" t="str">
        <f t="shared" si="37"/>
        <v>1996</v>
      </c>
      <c r="G836" s="1">
        <v>35432</v>
      </c>
      <c r="H836" s="1">
        <v>35408</v>
      </c>
      <c r="I836">
        <v>3</v>
      </c>
      <c r="J836" t="str">
        <f t="shared" si="38"/>
        <v>DHL</v>
      </c>
      <c r="K836">
        <v>3.94</v>
      </c>
      <c r="L836" t="s">
        <v>0</v>
      </c>
      <c r="M836" t="s">
        <v>644</v>
      </c>
      <c r="N836" t="s">
        <v>645</v>
      </c>
      <c r="P836" t="s">
        <v>646</v>
      </c>
      <c r="Q836" t="s">
        <v>647</v>
      </c>
    </row>
    <row r="837" spans="2:17" customFormat="1" ht="15" hidden="1" x14ac:dyDescent="0.25">
      <c r="B837">
        <v>10611</v>
      </c>
      <c r="C837" t="s">
        <v>642</v>
      </c>
      <c r="D837" s="1">
        <v>35636</v>
      </c>
      <c r="E837" s="1" t="str">
        <f t="shared" si="36"/>
        <v>jul</v>
      </c>
      <c r="F837" s="1" t="str">
        <f t="shared" si="37"/>
        <v>1997</v>
      </c>
      <c r="G837" s="1">
        <v>35664</v>
      </c>
      <c r="H837" s="1">
        <v>35643</v>
      </c>
      <c r="I837">
        <v>2</v>
      </c>
      <c r="J837" t="str">
        <f t="shared" si="38"/>
        <v>USPS</v>
      </c>
      <c r="K837">
        <v>80.650000000000006</v>
      </c>
      <c r="L837" t="s">
        <v>0</v>
      </c>
      <c r="M837" t="s">
        <v>644</v>
      </c>
      <c r="N837" t="s">
        <v>645</v>
      </c>
      <c r="P837" t="s">
        <v>646</v>
      </c>
      <c r="Q837" t="s">
        <v>647</v>
      </c>
    </row>
    <row r="838" spans="2:17" customFormat="1" ht="15" hidden="1" x14ac:dyDescent="0.25">
      <c r="B838">
        <v>10792</v>
      </c>
      <c r="C838" t="s">
        <v>642</v>
      </c>
      <c r="D838" s="1">
        <v>35787</v>
      </c>
      <c r="E838" s="1" t="str">
        <f t="shared" si="36"/>
        <v>dez</v>
      </c>
      <c r="F838" s="1" t="str">
        <f t="shared" si="37"/>
        <v>1997</v>
      </c>
      <c r="G838" s="1">
        <v>35815</v>
      </c>
      <c r="H838" s="1">
        <v>35795</v>
      </c>
      <c r="I838">
        <v>3</v>
      </c>
      <c r="J838" t="str">
        <f t="shared" si="38"/>
        <v>DHL</v>
      </c>
      <c r="K838">
        <v>23.79</v>
      </c>
      <c r="L838" t="s">
        <v>0</v>
      </c>
      <c r="M838" t="s">
        <v>644</v>
      </c>
      <c r="N838" t="s">
        <v>645</v>
      </c>
      <c r="P838" t="s">
        <v>646</v>
      </c>
      <c r="Q838" t="s">
        <v>647</v>
      </c>
    </row>
    <row r="839" spans="2:17" customFormat="1" ht="15" hidden="1" x14ac:dyDescent="0.25">
      <c r="B839">
        <v>10870</v>
      </c>
      <c r="C839" t="s">
        <v>642</v>
      </c>
      <c r="D839" s="1">
        <v>35830</v>
      </c>
      <c r="E839" s="1" t="str">
        <f t="shared" si="36"/>
        <v>fev</v>
      </c>
      <c r="F839" s="1" t="str">
        <f t="shared" si="37"/>
        <v>1998</v>
      </c>
      <c r="G839" s="1">
        <v>35858</v>
      </c>
      <c r="H839" s="1">
        <v>35839</v>
      </c>
      <c r="I839">
        <v>3</v>
      </c>
      <c r="J839" t="str">
        <f t="shared" si="38"/>
        <v>DHL</v>
      </c>
      <c r="K839">
        <v>12.04</v>
      </c>
      <c r="L839" t="s">
        <v>0</v>
      </c>
      <c r="M839" t="s">
        <v>644</v>
      </c>
      <c r="N839" t="s">
        <v>645</v>
      </c>
      <c r="P839" t="s">
        <v>646</v>
      </c>
      <c r="Q839" t="s">
        <v>647</v>
      </c>
    </row>
    <row r="840" spans="2:17" customFormat="1" ht="15" hidden="1" x14ac:dyDescent="0.25">
      <c r="B840">
        <v>10906</v>
      </c>
      <c r="C840" t="s">
        <v>642</v>
      </c>
      <c r="D840" s="1">
        <v>35851</v>
      </c>
      <c r="E840" s="1" t="str">
        <f t="shared" si="36"/>
        <v>fev</v>
      </c>
      <c r="F840" s="1" t="str">
        <f t="shared" si="37"/>
        <v>1998</v>
      </c>
      <c r="G840" s="1">
        <v>35865</v>
      </c>
      <c r="H840" s="1">
        <v>35857</v>
      </c>
      <c r="I840">
        <v>3</v>
      </c>
      <c r="J840" t="str">
        <f t="shared" si="38"/>
        <v>DHL</v>
      </c>
      <c r="K840">
        <v>26.29</v>
      </c>
      <c r="L840" t="s">
        <v>0</v>
      </c>
      <c r="M840" t="s">
        <v>644</v>
      </c>
      <c r="N840" t="s">
        <v>645</v>
      </c>
      <c r="P840" t="s">
        <v>646</v>
      </c>
      <c r="Q840" t="s">
        <v>647</v>
      </c>
    </row>
    <row r="841" spans="2:17" customFormat="1" ht="15" hidden="1" x14ac:dyDescent="0.25">
      <c r="B841">
        <v>10998</v>
      </c>
      <c r="C841" t="s">
        <v>642</v>
      </c>
      <c r="D841" s="1">
        <v>35888</v>
      </c>
      <c r="E841" s="1" t="str">
        <f t="shared" si="36"/>
        <v>abr</v>
      </c>
      <c r="F841" s="1" t="str">
        <f t="shared" si="37"/>
        <v>1998</v>
      </c>
      <c r="G841" s="1">
        <v>35902</v>
      </c>
      <c r="H841" s="1">
        <v>35902</v>
      </c>
      <c r="I841">
        <v>2</v>
      </c>
      <c r="J841" t="str">
        <f t="shared" si="38"/>
        <v>USPS</v>
      </c>
      <c r="K841">
        <v>20.309999999999999</v>
      </c>
      <c r="L841" t="s">
        <v>0</v>
      </c>
      <c r="M841" t="s">
        <v>644</v>
      </c>
      <c r="N841" t="s">
        <v>645</v>
      </c>
      <c r="P841" t="s">
        <v>646</v>
      </c>
      <c r="Q841" t="s">
        <v>647</v>
      </c>
    </row>
    <row r="842" spans="2:17" customFormat="1" ht="15" hidden="1" x14ac:dyDescent="0.25">
      <c r="B842">
        <v>11044</v>
      </c>
      <c r="C842" t="s">
        <v>642</v>
      </c>
      <c r="D842" s="1">
        <v>35908</v>
      </c>
      <c r="E842" s="1" t="str">
        <f t="shared" si="36"/>
        <v>abr</v>
      </c>
      <c r="F842" s="1" t="str">
        <f t="shared" si="37"/>
        <v>1998</v>
      </c>
      <c r="G842" s="1">
        <v>35936</v>
      </c>
      <c r="H842" s="1">
        <v>35916</v>
      </c>
      <c r="I842">
        <v>1</v>
      </c>
      <c r="J842" t="str">
        <f t="shared" si="38"/>
        <v>UPS</v>
      </c>
      <c r="K842">
        <v>8.7200000000000006</v>
      </c>
      <c r="L842" t="s">
        <v>0</v>
      </c>
      <c r="M842" t="s">
        <v>644</v>
      </c>
      <c r="N842" t="s">
        <v>645</v>
      </c>
      <c r="P842" t="s">
        <v>646</v>
      </c>
      <c r="Q842" t="s">
        <v>647</v>
      </c>
    </row>
  </sheetData>
  <mergeCells count="7">
    <mergeCell ref="B9:E9"/>
    <mergeCell ref="B11:Q11"/>
    <mergeCell ref="B2:E2"/>
    <mergeCell ref="B3:E3"/>
    <mergeCell ref="B5:E5"/>
    <mergeCell ref="B6:E6"/>
    <mergeCell ref="B8:E8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'Customer Info'!$A$2:$A$92</xm:f>
          </x14:formula1>
          <xm:sqref>B3:E3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AF416087-A867-4E35-828C-14F8E70A0A2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293D9A1-65DD-4D04-A57D-80C55398A427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EB92FCD2-90EB-4285-A865-6A81E65562A0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Customer Info</vt:lpstr>
      <vt:lpstr>Order Info</vt:lpstr>
      <vt:lpstr>Dashboard</vt:lpstr>
      <vt:lpstr>Dashboard!Criterios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PewFamilyOffice01</dc:creator>
  <cp:lastModifiedBy>Iago Riveiro Santos Dutra</cp:lastModifiedBy>
  <dcterms:created xsi:type="dcterms:W3CDTF">2017-10-12T19:45:47Z</dcterms:created>
  <dcterms:modified xsi:type="dcterms:W3CDTF">2022-05-19T15:25:19Z</dcterms:modified>
</cp:coreProperties>
</file>